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2bc85487f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4a0a9571956c4de6"/>
    <x:sheet xmlns:r="http://schemas.openxmlformats.org/officeDocument/2006/relationships" name="Varsayımlar" sheetId="2" r:id="R77bf2392495d45b3"/>
    <x:sheet xmlns:r="http://schemas.openxmlformats.org/officeDocument/2006/relationships" name="Kazanç Senaryoları" sheetId="3" r:id="R12cac42ed58544d9"/>
    <x:sheet xmlns:r="http://schemas.openxmlformats.org/officeDocument/2006/relationships" name="Sağlayıcı Karşılaştırma" sheetId="4" r:id="R29b0076b1a394ed5"/>
    <x:sheet xmlns:r="http://schemas.openxmlformats.org/officeDocument/2006/relationships" name="Kaynaklar" sheetId="5" r:id="R0f37f6a54736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#,##0"/>
    <x:numFmt numFmtId="202" formatCode="0%"/>
    <x:numFmt numFmtId="203" formatCode="$0.00"/>
  </x:numFmts>
  <x:fonts count="11">
    <x:font>
      <x:sz val="11"/>
      <x:name val="Carlito"/>
    </x:font>
    <x:font>
      <x:b/>
      <x:sz val="14"/>
      <x:color rgb="FFFFFF"/>
      <x:name val="Carlito"/>
    </x:font>
    <x:font>
      <x:i/>
      <x:sz val="11"/>
      <x:name val="Carlito"/>
    </x:font>
    <x:font>
      <x:b/>
      <x:sz val="11"/>
      <x:color rgb="FFFFFF"/>
      <x:name val="Carlito"/>
    </x:font>
    <x:font>
      <x:sz val="11"/>
      <x:color rgb="92400E"/>
      <x:name val="Carlito"/>
    </x:font>
    <x:font>
      <x:b/>
      <x:sz val="11"/>
      <x:color rgb="111827"/>
      <x:name val="Carlito"/>
    </x:font>
    <x:font>
      <x:b/>
      <x:sz val="11"/>
      <x:color rgb="FFFFFF"/>
      <x:name val="Calibri"/>
    </x:font>
    <x:font>
      <x:sz val="11"/>
      <x:name val="Calibri"/>
    </x:font>
    <x:font>
      <x:i/>
      <x:sz val="11"/>
      <x:name val="Calibri"/>
    </x:font>
    <x:font>
      <x:sz val="11"/>
      <x:color rgb="92400E"/>
      <x:name val="Calibri"/>
    </x:font>
    <x:font>
      <x:b/>
      <x:sz val="11"/>
      <x:color rgb="111827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5E7EB"/>
      </x:patternFill>
    </x:fill>
    <x:fill>
      <x:patternFill patternType="solid">
        <x:fgColor rgb="1E40AF"/>
      </x:patternFill>
    </x:fill>
    <x:fill>
      <x:patternFill patternType="solid">
        <x:fgColor rgb="FEF3C7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0" fontId="9" fillId="5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/>
    <x:xf numFmtId="0" fontId="9" fillId="5" borderId="1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10" fillId="6" borderId="1" xfId="0" applyNumberFormat="1" applyFont="1" applyFill="1" applyBorder="1" applyAlignment="1">
      <x:alignment horizontal="center" vertical="center" wrapText="1"/>
    </x:xf>
    <x:xf numFmtId="201" fontId="7" fillId="0" borderId="1" xfId="0" applyNumberFormat="1" applyFont="1" applyFill="1" applyBorder="1"/>
    <x:xf numFmtId="202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3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3" fontId="7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03d585125431a" /><Relationship Type="http://schemas.openxmlformats.org/officeDocument/2006/relationships/theme" Target="/xl/theme/theme1.xml" Id="R779cc66b335242c8" /><Relationship Type="http://schemas.openxmlformats.org/officeDocument/2006/relationships/sharedStrings" Target="/xl/sharedStrings.xml" Id="R669cb74bbfaf45aa" /><Relationship Type="http://schemas.openxmlformats.org/officeDocument/2006/relationships/worksheet" Target="/xl/worksheets/sheet1.xml" Id="R4a0a9571956c4de6" /><Relationship Type="http://schemas.openxmlformats.org/officeDocument/2006/relationships/worksheet" Target="/xl/worksheets/sheet2.xml" Id="R77bf2392495d45b3" /><Relationship Type="http://schemas.openxmlformats.org/officeDocument/2006/relationships/worksheet" Target="/xl/worksheets/sheet3.xml" Id="R12cac42ed58544d9" /><Relationship Type="http://schemas.openxmlformats.org/officeDocument/2006/relationships/worksheet" Target="/xl/worksheets/sheet4.xml" Id="R29b0076b1a394ed5" /><Relationship Type="http://schemas.openxmlformats.org/officeDocument/2006/relationships/worksheet" Target="/xl/worksheets/sheet5.xml" Id="R0f37f6a5473646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14358278a44b1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1M gösterim geliri</c:v>
          </c:tx>
          <c:cat>
            <c:strRef>
              <c:f>'Özet'!$B$5:$B$9</c:f>
              <c:strCache>
                <c:ptCount val="0"/>
              </c:strCache>
            </c:strRef>
          </c:cat>
          <c:val>
            <c:numRef>
              <c:f>'Özet'!$G$5:$G$9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14358278a44b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PriorityTable" displayName="PriorityTable" ref="A4:H9" headerRowCount="1">
  <x:tableColumns count="8">
    <x:tableColumn id="1" name="Öncelik"/>
    <x:tableColumn id="2" name="Sağlayıcı"/>
    <x:tableColumn id="3" name="Trafik eşiği / uygunluk"/>
    <x:tableColumn id="4" name="Baz eCPM ($)"/>
    <x:tableColumn id="5" name="100K gösterim"/>
    <x:tableColumn id="6" name="500K gösterim"/>
    <x:tableColumn id="7" name="1M gösterim"/>
    <x:tableColumn id="8" name="Not"/>
  </x:tableColumns>
  <x:tableStyleInfo name="TableStyleMedium2" showRowStripes="1"/>
</x:table>
</file>

<file path=xl/tables/table2.xml><?xml version="1.0" encoding="utf-8"?>
<x:table xmlns:x="http://schemas.openxmlformats.org/spreadsheetml/2006/main" id="1" name="ProviderMatrix" displayName="ProviderMatrix" ref="A3:K11" headerRowCount="1">
  <x:tableColumns count="11">
    <x:tableColumn id="1" name="Sağlayıcı"/>
    <x:tableColumn id="2" name="Kısa ad"/>
    <x:tableColumn id="3" name="Uygunluk / eşik"/>
    <x:tableColumn id="4" name="Vergi-operasyon notu"/>
    <x:tableColumn id="5" name="Formatlar"/>
    <x:tableColumn id="6" name="Düşük eCPM"/>
    <x:tableColumn id="7" name="Baz eCPM"/>
    <x:tableColumn id="8" name="İyimser eCPM"/>
    <x:tableColumn id="9" name="TümMenü uyumu"/>
    <x:tableColumn id="10" name="Risk"/>
    <x:tableColumn id="11" name="Kaynak"/>
  </x:tableColumns>
  <x:tableStyleInfo name="TableStyleMedium2" showRowStripes="1"/>
</x:table>
</file>

<file path=xl/tables/table3.xml><?xml version="1.0" encoding="utf-8"?>
<x:table xmlns:x="http://schemas.openxmlformats.org/spreadsheetml/2006/main" id="2" name="SourcesTable" displayName="SourcesTable" ref="A3:D13" headerRowCount="1">
  <x:tableColumns count="4">
    <x:tableColumn id="1" name="Konu"/>
    <x:tableColumn id="2" name="Kaynak URL"/>
    <x:tableColumn id="3" name="Raporda kullanımı"/>
    <x:tableColumn id="4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e6a482f8a1466d" /><Relationship Type="http://schemas.openxmlformats.org/officeDocument/2006/relationships/table" Target="/xl/tables/table1.xml" Id="R63f2f86c63e04f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425c1294d4443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ec84483c005454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24" hidden="0" customWidth="1"/>
    <x:col min="9" max="9" width="18" hidden="0" customWidth="1"/>
    <x:col min="10" max="10" width="28" hidden="0" customWidth="1"/>
    <x:col min="11" max="11" width="36" hidden="0" customWidth="1"/>
  </x:cols>
  <x:sheetData>
    <x:row r="1">
      <x:c r="A1" s="64" t="str">
        <x:v>TümMenü Reklam Sağlayıcı Kazanç Raporu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s="66" t="str">
        <x:v>Hazırlanma tarihi: 2026-05-08 | Para birimi: USD | Model: eCPM x faturalandırılabilir reklam gösterimi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</x:row>
    <x:row r="4">
      <x:c r="A4" s="68" t="str">
        <x:v>Öncelik</x:v>
      </x:c>
      <x:c r="B4" s="68" t="str">
        <x:v>Sağlayıcı</x:v>
      </x:c>
      <x:c r="C4" s="68" t="str">
        <x:v>Trafik eşiği / uygunluk</x:v>
      </x:c>
      <x:c r="D4" s="68" t="str">
        <x:v>Baz eCPM ($)</x:v>
      </x:c>
      <x:c r="E4" s="68" t="str">
        <x:v>100K gösterim</x:v>
      </x:c>
      <x:c r="F4" s="68" t="str">
        <x:v>500K gösterim</x:v>
      </x:c>
      <x:c r="G4" s="68" t="str">
        <x:v>1M gösterim</x:v>
      </x:c>
      <x:c r="H4" s="68" t="str">
        <x:v>Not</x:v>
      </x:c>
      <x:c r="I4" s="67"/>
      <x:c r="J4" s="67"/>
      <x:c r="K4" s="67"/>
    </x:row>
    <x:row r="5">
      <x:c r="A5" s="67" t="n">
        <x:v>1</x:v>
      </x:c>
      <x:c r="B5" s="67" t="str">
        <x:v>AdMatic</x:v>
      </x:c>
      <x:c r="C5" s="67" t="str">
        <x:v>TR premium network</x:v>
      </x:c>
      <x:c r="D5" s="69" t="n">
        <x:v>0.3</x:v>
      </x:c>
      <x:c r="E5" s="69" t="n">
        <x:f>D5*100</x:f>
        <x:v>30</x:v>
      </x:c>
      <x:c r="F5" s="69" t="n">
        <x:f>D5*500</x:f>
        <x:v>150</x:v>
      </x:c>
      <x:c r="G5" s="69" t="n">
        <x:f>D5*1000</x:f>
        <x:v>300</x:v>
      </x:c>
      <x:c r="H5" s="67" t="str">
        <x:v>Vergi/iletişim tarafı yerel muhatapla daha yönetilebilir</x:v>
      </x:c>
      <x:c r="I5" s="67"/>
      <x:c r="J5" s="67"/>
      <x:c r="K5" s="67"/>
    </x:row>
    <x:row r="6">
      <x:c r="A6" s="67" t="n">
        <x:v>2</x:v>
      </x:c>
      <x:c r="B6" s="67" t="str">
        <x:v>ReklamStore SSP</x:v>
      </x:c>
      <x:c r="C6" s="67" t="str">
        <x:v>TR yayıncı ağı / açık artırma</x:v>
      </x:c>
      <x:c r="D6" s="69" t="n">
        <x:v>0.25</x:v>
      </x:c>
      <x:c r="E6" s="69" t="n">
        <x:f>D6*100</x:f>
        <x:v>25</x:v>
      </x:c>
      <x:c r="F6" s="69" t="n">
        <x:f>D6*500</x:f>
        <x:v>125</x:v>
      </x:c>
      <x:c r="G6" s="69" t="n">
        <x:f>D6*1000</x:f>
        <x:v>250</x:v>
      </x:c>
      <x:c r="H6" s="67" t="str">
        <x:v>AdSense alternatifi olarak ilk test listesine alınmalı</x:v>
      </x:c>
      <x:c r="I6" s="67"/>
      <x:c r="J6" s="67"/>
      <x:c r="K6" s="67"/>
    </x:row>
    <x:row r="7">
      <x:c r="A7" s="67" t="n">
        <x:v>3</x:v>
      </x:c>
      <x:c r="B7" s="67" t="str">
        <x:v>Yandex Advertising Network</x:v>
      </x:c>
      <x:c r="C7" s="67" t="str">
        <x:v>Moderasyon + belge/banka</x:v>
      </x:c>
      <x:c r="D7" s="69" t="n">
        <x:v>0.2</x:v>
      </x:c>
      <x:c r="E7" s="69" t="n">
        <x:f>D7*100</x:f>
        <x:v>20</x:v>
      </x:c>
      <x:c r="F7" s="69" t="n">
        <x:f>D7*500</x:f>
        <x:v>100</x:v>
      </x:c>
      <x:c r="G7" s="69" t="n">
        <x:f>D7*1000</x:f>
        <x:v>200</x:v>
      </x:c>
      <x:c r="H7" s="67" t="str">
        <x:v>Yandex tarafı güçlü ama Türkiye eCPM test edilmeden netleşmez</x:v>
      </x:c>
      <x:c r="I7" s="67"/>
      <x:c r="J7" s="67"/>
      <x:c r="K7" s="67"/>
    </x:row>
    <x:row r="8">
      <x:c r="A8" s="67" t="n">
        <x:v>4</x:v>
      </x:c>
      <x:c r="B8" s="67" t="str">
        <x:v>Setupad</x:v>
      </x:c>
      <x:c r="C8" s="67" t="str">
        <x:v>100K+ ziyaretçi</x:v>
      </x:c>
      <x:c r="D8" s="69" t="n">
        <x:v>0.6</x:v>
      </x:c>
      <x:c r="E8" s="69" t="n">
        <x:f>D8*100</x:f>
        <x:v>60</x:v>
      </x:c>
      <x:c r="F8" s="69" t="n">
        <x:f>D8*500</x:f>
        <x:v>300</x:v>
      </x:c>
      <x:c r="G8" s="69" t="n">
        <x:f>D8*1000</x:f>
        <x:v>600</x:v>
      </x:c>
      <x:c r="H8" s="67" t="str">
        <x:v>Trafik büyüyünce daha iyi yield için denenir</x:v>
      </x:c>
      <x:c r="I8" s="67"/>
      <x:c r="J8" s="67"/>
      <x:c r="K8" s="67"/>
    </x:row>
    <x:row r="9">
      <x:c r="A9" s="67" t="n">
        <x:v>5</x:v>
      </x:c>
      <x:c r="B9" s="67" t="str">
        <x:v>MGID</x:v>
      </x:c>
      <x:c r="C9" s="67" t="str">
        <x:v>90K+ ziyaretçi</x:v>
      </x:c>
      <x:c r="D9" s="69" t="n">
        <x:v>0.25</x:v>
      </x:c>
      <x:c r="E9" s="69" t="n">
        <x:f>D9*100</x:f>
        <x:v>25</x:v>
      </x:c>
      <x:c r="F9" s="69" t="n">
        <x:f>D9*500</x:f>
        <x:v>125</x:v>
      </x:c>
      <x:c r="G9" s="69" t="n">
        <x:f>D9*1000</x:f>
        <x:v>250</x:v>
      </x:c>
      <x:c r="H9" s="67" t="str">
        <x:v>Native reklam; marka/UX dikkatli test edilmeli</x:v>
      </x:c>
      <x:c r="I9" s="67"/>
      <x:c r="J9" s="67"/>
      <x:c r="K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</x:row>
    <x:row r="11">
      <x:c r="A11" s="70" t="str">
        <x:v>Karar: Direkt sponsorluk istemiyorsan TümMenü için ilk test sırası AdMatic + ReklamStore + Yandex olmalı. Setupad ve MGID trafik eşiği sonrası denenmeli. Monetag yalnızca ayrı test sayfasında ve pop/push kapalı veya çok sınırlı denenmeli; ana ürün deneyimine zarar verebilir.</x:v>
      </x:c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</x:row>
  </x:sheetData>
  <x:mergeCells>
    <x:mergeCell ref="A1:H1"/>
    <x:mergeCell ref="A2:H2"/>
    <x:mergeCell ref="A11:H13"/>
  </x:mergeCells>
  <x:pageMargins left="0.7" right="0.7" top="0.75" bottom="0.75" header="0.3" footer="0.3"/>
  <x:drawing xmlns:r="http://schemas.openxmlformats.org/officeDocument/2006/relationships" r:id="Rd9e6a482f8a1466d"/>
  <x:tableParts count="1">
    <x:tablePart xmlns:r="http://schemas.openxmlformats.org/officeDocument/2006/relationships" r:id="R63f2f86c63e04f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24" hidden="0" customWidth="1"/>
    <x:col min="9" max="9" width="18" hidden="0" customWidth="1"/>
    <x:col min="10" max="10" width="28" hidden="0" customWidth="1"/>
    <x:col min="11" max="11" width="36" hidden="0" customWidth="1"/>
  </x:cols>
  <x:sheetData>
    <x:row r="1">
      <x:c r="A1" s="64" t="str">
        <x:v>Model Varsayımları ve Girdi Alanları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3">
      <x:c r="A3" s="78" t="str">
        <x:v>Aylık sayfa görüntülenmesi</x:v>
      </x:c>
      <x:c r="B3" s="79" t="n">
        <x:v>100000</x:v>
      </x:c>
      <x:c r="C3" s="67"/>
      <x:c r="D3" s="67"/>
      <x:c r="E3" s="67"/>
      <x:c r="F3" s="67"/>
      <x:c r="G3" s="67"/>
      <x:c r="H3" s="67"/>
      <x:c r="I3" s="67"/>
      <x:c r="J3" s="67"/>
      <x:c r="K3" s="67"/>
    </x:row>
    <x:row r="4">
      <x:c r="A4" s="78" t="str">
        <x:v>Sayfa başına reklam alanı</x:v>
      </x:c>
      <x:c r="B4" s="79" t="n">
        <x:v>2</x:v>
      </x:c>
      <x:c r="C4" s="67"/>
      <x:c r="D4" s="67"/>
      <x:c r="E4" s="67"/>
      <x:c r="F4" s="67"/>
      <x:c r="G4" s="67"/>
      <x:c r="H4" s="67"/>
      <x:c r="I4" s="67"/>
      <x:c r="J4" s="67"/>
      <x:c r="K4" s="67"/>
    </x:row>
    <x:row r="5">
      <x:c r="A5" s="78" t="str">
        <x:v>Fill rate</x:v>
      </x:c>
      <x:c r="B5" s="80" t="n">
        <x:v>0.85</x:v>
      </x:c>
      <x:c r="C5" s="67"/>
      <x:c r="D5" s="67"/>
      <x:c r="E5" s="67"/>
      <x:c r="F5" s="67"/>
      <x:c r="G5" s="67"/>
      <x:c r="H5" s="67"/>
      <x:c r="I5" s="67"/>
      <x:c r="J5" s="67"/>
      <x:c r="K5" s="67"/>
    </x:row>
    <x:row r="6">
      <x:c r="A6" s="78" t="str">
        <x:v>Viewability / faturalandırılabilir oran</x:v>
      </x:c>
      <x:c r="B6" s="80" t="n">
        <x:v>0.75</x:v>
      </x:c>
      <x:c r="C6" s="67"/>
      <x:c r="D6" s="67"/>
      <x:c r="E6" s="67"/>
      <x:c r="F6" s="67"/>
      <x:c r="G6" s="67"/>
      <x:c r="H6" s="67"/>
      <x:c r="I6" s="67"/>
      <x:c r="J6" s="67"/>
      <x:c r="K6" s="67"/>
    </x:row>
    <x:row r="7">
      <x:c r="A7" s="78" t="str">
        <x:v>Faturalandırılabilir reklam gösterimi</x:v>
      </x:c>
      <x:c r="B7" s="79" t="n">
        <x:f>B3*B4*B5*B6</x:f>
        <x:v>127500</x:v>
      </x:c>
      <x:c r="C7" s="67"/>
      <x:c r="D7" s="67"/>
      <x:c r="E7" s="67"/>
      <x:c r="F7" s="67"/>
      <x:c r="G7" s="67"/>
      <x:c r="H7" s="67"/>
      <x:c r="I7" s="67"/>
      <x:c r="J7" s="67"/>
      <x:c r="K7" s="67"/>
    </x:row>
    <x:row r="8">
      <x:c r="A8" s="78" t="str">
        <x:v>TL karşılığı için USD/TRY</x:v>
      </x:c>
      <x:c r="B8" s="67" t="str">
        <x:v>Kuru elle gir</x:v>
      </x:c>
      <x:c r="C8" s="67"/>
      <x:c r="D8" s="67"/>
      <x:c r="E8" s="67"/>
      <x:c r="F8" s="67"/>
      <x:c r="G8" s="67"/>
      <x:c r="H8" s="67"/>
      <x:c r="I8" s="67"/>
      <x:c r="J8" s="67"/>
      <x:c r="K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</x:row>
    <x:row r="10">
      <x:c r="A10" s="68" t="str">
        <x:v>Not</x:v>
      </x:c>
      <x:c r="B10" s="67" t="str"/>
      <x:c r="C10" s="67" t="str"/>
      <x:c r="D10" s="67" t="str"/>
      <x:c r="E10" s="67" t="str"/>
      <x:c r="F10" s="67" t="str"/>
      <x:c r="G10" s="67"/>
      <x:c r="H10" s="67"/>
      <x:c r="I10" s="67"/>
      <x:c r="J10" s="67"/>
      <x:c r="K10" s="67"/>
    </x:row>
    <x:row r="11">
      <x:c r="A11" s="70" t="str">
        <x:v>Bu raporda “gösterim” sayfa görüntülenmesi değil, faturalandırılabilir reklam gösterimidir. Örnek: 100.000 sayfa görüntülenmesi x 2 reklam alanı x %85 fill x %75 viewability = 127.500 faturalandırılabilir reklam gösterimi.</x:v>
      </x:c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</x:row>
  </x:sheetData>
  <x:mergeCells>
    <x:mergeCell ref="A1:F1"/>
    <x:mergeCell ref="A10:F10"/>
    <x:mergeCell ref="A11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24" hidden="0" customWidth="1"/>
    <x:col min="9" max="9" width="18" hidden="0" customWidth="1"/>
    <x:col min="10" max="10" width="28" hidden="0" customWidth="1"/>
    <x:col min="11" max="11" width="36" hidden="0" customWidth="1"/>
  </x:cols>
  <x:sheetData>
    <x:row r="1">
      <x:c r="A1" s="64" t="str">
        <x:v>Aylık Reklam Gösterimine Göre Kazanç Senaryoları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3">
      <x:c r="A3" s="78" t="str">
        <x:v>Yandex Advertising Network - eCPM gelir tablosu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</x:row>
    <x:row r="4">
      <x:c r="A4" s="68" t="str">
        <x:v>Aylık reklam gösterimi</x:v>
      </x:c>
      <x:c r="B4" s="68" t="str">
        <x:v>Düşük eCPM</x:v>
      </x:c>
      <x:c r="C4" s="68" t="str">
        <x:v>Düşük gelir</x:v>
      </x:c>
      <x:c r="D4" s="68" t="str">
        <x:v>Baz eCPM</x:v>
      </x:c>
      <x:c r="E4" s="68" t="str">
        <x:v>Baz gelir</x:v>
      </x:c>
      <x:c r="F4" s="68" t="str">
        <x:v>İyimser eCPM</x:v>
      </x:c>
      <x:c r="G4" s="68" t="str">
        <x:v>İyimser gelir</x:v>
      </x:c>
      <x:c r="H4" s="68" t="str">
        <x:v>Yorum</x:v>
      </x:c>
      <x:c r="I4" s="67"/>
      <x:c r="J4" s="67"/>
      <x:c r="K4" s="67"/>
    </x:row>
    <x:row r="5">
      <x:c r="A5" s="79" t="n">
        <x:v>10000</x:v>
      </x:c>
      <x:c r="B5" s="69" t="n">
        <x:v>0.08</x:v>
      </x:c>
      <x:c r="C5" s="69" t="n">
        <x:f>A5/1000*B5</x:f>
        <x:v>0.8</x:v>
      </x:c>
      <x:c r="D5" s="69" t="n">
        <x:v>0.2</x:v>
      </x:c>
      <x:c r="E5" s="69" t="n">
        <x:f>A5/1000*D5</x:f>
        <x:v>2</x:v>
      </x:c>
      <x:c r="F5" s="69" t="n">
        <x:v>0.45</x:v>
      </x:c>
      <x:c r="G5" s="69" t="n">
        <x:f>A5/1000*F5</x:f>
        <x:v>4.5</x:v>
      </x:c>
      <x:c r="H5" s="67" t="str"/>
      <x:c r="I5" s="67"/>
      <x:c r="J5" s="67"/>
      <x:c r="K5" s="67"/>
    </x:row>
    <x:row r="6">
      <x:c r="A6" s="79" t="n">
        <x:v>50000</x:v>
      </x:c>
      <x:c r="B6" s="69" t="n">
        <x:v>0.08</x:v>
      </x:c>
      <x:c r="C6" s="69" t="n">
        <x:f>A6/1000*B6</x:f>
        <x:v>4</x:v>
      </x:c>
      <x:c r="D6" s="69" t="n">
        <x:v>0.2</x:v>
      </x:c>
      <x:c r="E6" s="69" t="n">
        <x:f>A6/1000*D6</x:f>
        <x:v>10</x:v>
      </x:c>
      <x:c r="F6" s="69" t="n">
        <x:v>0.45</x:v>
      </x:c>
      <x:c r="G6" s="69" t="n">
        <x:f>A6/1000*F6</x:f>
        <x:v>22.5</x:v>
      </x:c>
      <x:c r="H6" s="67" t="str"/>
      <x:c r="I6" s="67"/>
      <x:c r="J6" s="67"/>
      <x:c r="K6" s="67"/>
    </x:row>
    <x:row r="7">
      <x:c r="A7" s="79" t="n">
        <x:v>100000</x:v>
      </x:c>
      <x:c r="B7" s="69" t="n">
        <x:v>0.08</x:v>
      </x:c>
      <x:c r="C7" s="69" t="n">
        <x:f>A7/1000*B7</x:f>
        <x:v>8</x:v>
      </x:c>
      <x:c r="D7" s="69" t="n">
        <x:v>0.2</x:v>
      </x:c>
      <x:c r="E7" s="69" t="n">
        <x:f>A7/1000*D7</x:f>
        <x:v>20</x:v>
      </x:c>
      <x:c r="F7" s="69" t="n">
        <x:v>0.45</x:v>
      </x:c>
      <x:c r="G7" s="69" t="n">
        <x:f>A7/1000*F7</x:f>
        <x:v>45</x:v>
      </x:c>
      <x:c r="H7" s="67" t="str"/>
      <x:c r="I7" s="67"/>
      <x:c r="J7" s="67"/>
      <x:c r="K7" s="67"/>
    </x:row>
    <x:row r="8">
      <x:c r="A8" s="79" t="n">
        <x:v>250000</x:v>
      </x:c>
      <x:c r="B8" s="69" t="n">
        <x:v>0.08</x:v>
      </x:c>
      <x:c r="C8" s="69" t="n">
        <x:f>A8/1000*B8</x:f>
        <x:v>20</x:v>
      </x:c>
      <x:c r="D8" s="69" t="n">
        <x:v>0.2</x:v>
      </x:c>
      <x:c r="E8" s="69" t="n">
        <x:f>A8/1000*D8</x:f>
        <x:v>50</x:v>
      </x:c>
      <x:c r="F8" s="69" t="n">
        <x:v>0.45</x:v>
      </x:c>
      <x:c r="G8" s="69" t="n">
        <x:f>A8/1000*F8</x:f>
        <x:v>112.5</x:v>
      </x:c>
      <x:c r="H8" s="67" t="str"/>
      <x:c r="I8" s="67"/>
      <x:c r="J8" s="67"/>
      <x:c r="K8" s="67"/>
    </x:row>
    <x:row r="9">
      <x:c r="A9" s="79" t="n">
        <x:v>500000</x:v>
      </x:c>
      <x:c r="B9" s="69" t="n">
        <x:v>0.08</x:v>
      </x:c>
      <x:c r="C9" s="69" t="n">
        <x:f>A9/1000*B9</x:f>
        <x:v>40</x:v>
      </x:c>
      <x:c r="D9" s="69" t="n">
        <x:v>0.2</x:v>
      </x:c>
      <x:c r="E9" s="69" t="n">
        <x:f>A9/1000*D9</x:f>
        <x:v>100</x:v>
      </x:c>
      <x:c r="F9" s="69" t="n">
        <x:v>0.45</x:v>
      </x:c>
      <x:c r="G9" s="69" t="n">
        <x:f>A9/1000*F9</x:f>
        <x:v>225</x:v>
      </x:c>
      <x:c r="H9" s="67" t="str"/>
      <x:c r="I9" s="67"/>
      <x:c r="J9" s="67"/>
      <x:c r="K9" s="67"/>
    </x:row>
    <x:row r="10">
      <x:c r="A10" s="79" t="n">
        <x:v>1000000</x:v>
      </x:c>
      <x:c r="B10" s="69" t="n">
        <x:v>0.08</x:v>
      </x:c>
      <x:c r="C10" s="69" t="n">
        <x:f>A10/1000*B10</x:f>
        <x:v>80</x:v>
      </x:c>
      <x:c r="D10" s="69" t="n">
        <x:v>0.2</x:v>
      </x:c>
      <x:c r="E10" s="69" t="n">
        <x:f>A10/1000*D10</x:f>
        <x:v>200</x:v>
      </x:c>
      <x:c r="F10" s="69" t="n">
        <x:v>0.45</x:v>
      </x:c>
      <x:c r="G10" s="69" t="n">
        <x:f>A10/1000*F10</x:f>
        <x:v>450</x:v>
      </x:c>
      <x:c r="H10" s="67" t="str"/>
      <x:c r="I10" s="67"/>
      <x:c r="J10" s="67"/>
      <x:c r="K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</x:row>
    <x:row r="13">
      <x:c r="A13" s="78" t="str">
        <x:v>AdMatic - eCPM gelir tablosu</x:v>
      </x:c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</x:row>
    <x:row r="14">
      <x:c r="A14" s="68" t="str">
        <x:v>Aylık reklam gösterimi</x:v>
      </x:c>
      <x:c r="B14" s="68" t="str">
        <x:v>Düşük eCPM</x:v>
      </x:c>
      <x:c r="C14" s="68" t="str">
        <x:v>Düşük gelir</x:v>
      </x:c>
      <x:c r="D14" s="68" t="str">
        <x:v>Baz eCPM</x:v>
      </x:c>
      <x:c r="E14" s="68" t="str">
        <x:v>Baz gelir</x:v>
      </x:c>
      <x:c r="F14" s="68" t="str">
        <x:v>İyimser eCPM</x:v>
      </x:c>
      <x:c r="G14" s="68" t="str">
        <x:v>İyimser gelir</x:v>
      </x:c>
      <x:c r="H14" s="68" t="str">
        <x:v>Yorum</x:v>
      </x:c>
      <x:c r="I14" s="67"/>
      <x:c r="J14" s="67"/>
      <x:c r="K14" s="67"/>
    </x:row>
    <x:row r="15">
      <x:c r="A15" s="79" t="n">
        <x:v>10000</x:v>
      </x:c>
      <x:c r="B15" s="69" t="n">
        <x:v>0.1</x:v>
      </x:c>
      <x:c r="C15" s="69" t="n">
        <x:f>A15/1000*B15</x:f>
        <x:v>1</x:v>
      </x:c>
      <x:c r="D15" s="69" t="n">
        <x:v>0.3</x:v>
      </x:c>
      <x:c r="E15" s="69" t="n">
        <x:f>A15/1000*D15</x:f>
        <x:v>3</x:v>
      </x:c>
      <x:c r="F15" s="69" t="n">
        <x:v>0.7</x:v>
      </x:c>
      <x:c r="G15" s="69" t="n">
        <x:f>A15/1000*F15</x:f>
        <x:v>7</x:v>
      </x:c>
      <x:c r="H15" s="67" t="str"/>
      <x:c r="I15" s="67"/>
      <x:c r="J15" s="67"/>
      <x:c r="K15" s="67"/>
    </x:row>
    <x:row r="16">
      <x:c r="A16" s="79" t="n">
        <x:v>50000</x:v>
      </x:c>
      <x:c r="B16" s="69" t="n">
        <x:v>0.1</x:v>
      </x:c>
      <x:c r="C16" s="69" t="n">
        <x:f>A16/1000*B16</x:f>
        <x:v>5</x:v>
      </x:c>
      <x:c r="D16" s="69" t="n">
        <x:v>0.3</x:v>
      </x:c>
      <x:c r="E16" s="69" t="n">
        <x:f>A16/1000*D16</x:f>
        <x:v>15</x:v>
      </x:c>
      <x:c r="F16" s="69" t="n">
        <x:v>0.7</x:v>
      </x:c>
      <x:c r="G16" s="69" t="n">
        <x:f>A16/1000*F16</x:f>
        <x:v>35</x:v>
      </x:c>
      <x:c r="H16" s="67" t="str"/>
      <x:c r="I16" s="67"/>
      <x:c r="J16" s="67"/>
      <x:c r="K16" s="67"/>
    </x:row>
    <x:row r="17">
      <x:c r="A17" s="79" t="n">
        <x:v>100000</x:v>
      </x:c>
      <x:c r="B17" s="69" t="n">
        <x:v>0.1</x:v>
      </x:c>
      <x:c r="C17" s="69" t="n">
        <x:f>A17/1000*B17</x:f>
        <x:v>10</x:v>
      </x:c>
      <x:c r="D17" s="69" t="n">
        <x:v>0.3</x:v>
      </x:c>
      <x:c r="E17" s="69" t="n">
        <x:f>A17/1000*D17</x:f>
        <x:v>30</x:v>
      </x:c>
      <x:c r="F17" s="69" t="n">
        <x:v>0.7</x:v>
      </x:c>
      <x:c r="G17" s="69" t="n">
        <x:f>A17/1000*F17</x:f>
        <x:v>70</x:v>
      </x:c>
      <x:c r="H17" s="67" t="str"/>
      <x:c r="I17" s="67"/>
      <x:c r="J17" s="67"/>
      <x:c r="K17" s="67"/>
    </x:row>
    <x:row r="18">
      <x:c r="A18" s="79" t="n">
        <x:v>250000</x:v>
      </x:c>
      <x:c r="B18" s="69" t="n">
        <x:v>0.1</x:v>
      </x:c>
      <x:c r="C18" s="69" t="n">
        <x:f>A18/1000*B18</x:f>
        <x:v>25</x:v>
      </x:c>
      <x:c r="D18" s="69" t="n">
        <x:v>0.3</x:v>
      </x:c>
      <x:c r="E18" s="69" t="n">
        <x:f>A18/1000*D18</x:f>
        <x:v>75</x:v>
      </x:c>
      <x:c r="F18" s="69" t="n">
        <x:v>0.7</x:v>
      </x:c>
      <x:c r="G18" s="69" t="n">
        <x:f>A18/1000*F18</x:f>
        <x:v>175</x:v>
      </x:c>
      <x:c r="H18" s="67" t="str"/>
      <x:c r="I18" s="67"/>
      <x:c r="J18" s="67"/>
      <x:c r="K18" s="67"/>
    </x:row>
    <x:row r="19">
      <x:c r="A19" s="79" t="n">
        <x:v>500000</x:v>
      </x:c>
      <x:c r="B19" s="69" t="n">
        <x:v>0.1</x:v>
      </x:c>
      <x:c r="C19" s="69" t="n">
        <x:f>A19/1000*B19</x:f>
        <x:v>50</x:v>
      </x:c>
      <x:c r="D19" s="69" t="n">
        <x:v>0.3</x:v>
      </x:c>
      <x:c r="E19" s="69" t="n">
        <x:f>A19/1000*D19</x:f>
        <x:v>150</x:v>
      </x:c>
      <x:c r="F19" s="69" t="n">
        <x:v>0.7</x:v>
      </x:c>
      <x:c r="G19" s="69" t="n">
        <x:f>A19/1000*F19</x:f>
        <x:v>350</x:v>
      </x:c>
      <x:c r="H19" s="67" t="str"/>
      <x:c r="I19" s="67"/>
      <x:c r="J19" s="67"/>
      <x:c r="K19" s="67"/>
    </x:row>
    <x:row r="20">
      <x:c r="A20" s="79" t="n">
        <x:v>1000000</x:v>
      </x:c>
      <x:c r="B20" s="69" t="n">
        <x:v>0.1</x:v>
      </x:c>
      <x:c r="C20" s="69" t="n">
        <x:f>A20/1000*B20</x:f>
        <x:v>100</x:v>
      </x:c>
      <x:c r="D20" s="69" t="n">
        <x:v>0.3</x:v>
      </x:c>
      <x:c r="E20" s="69" t="n">
        <x:f>A20/1000*D20</x:f>
        <x:v>300</x:v>
      </x:c>
      <x:c r="F20" s="69" t="n">
        <x:v>0.7</x:v>
      </x:c>
      <x:c r="G20" s="69" t="n">
        <x:f>A20/1000*F20</x:f>
        <x:v>700</x:v>
      </x:c>
      <x:c r="H20" s="67" t="str"/>
      <x:c r="I20" s="67"/>
      <x:c r="J20" s="67"/>
      <x:c r="K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</x:row>
    <x:row r="23">
      <x:c r="A23" s="78" t="str">
        <x:v>ReklamStore SSP - eCPM gelir tablosu</x:v>
      </x:c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</x:row>
    <x:row r="24">
      <x:c r="A24" s="68" t="str">
        <x:v>Aylık reklam gösterimi</x:v>
      </x:c>
      <x:c r="B24" s="68" t="str">
        <x:v>Düşük eCPM</x:v>
      </x:c>
      <x:c r="C24" s="68" t="str">
        <x:v>Düşük gelir</x:v>
      </x:c>
      <x:c r="D24" s="68" t="str">
        <x:v>Baz eCPM</x:v>
      </x:c>
      <x:c r="E24" s="68" t="str">
        <x:v>Baz gelir</x:v>
      </x:c>
      <x:c r="F24" s="68" t="str">
        <x:v>İyimser eCPM</x:v>
      </x:c>
      <x:c r="G24" s="68" t="str">
        <x:v>İyimser gelir</x:v>
      </x:c>
      <x:c r="H24" s="68" t="str">
        <x:v>Yorum</x:v>
      </x:c>
      <x:c r="I24" s="67"/>
      <x:c r="J24" s="67"/>
      <x:c r="K24" s="67"/>
    </x:row>
    <x:row r="25">
      <x:c r="A25" s="79" t="n">
        <x:v>10000</x:v>
      </x:c>
      <x:c r="B25" s="69" t="n">
        <x:v>0.08</x:v>
      </x:c>
      <x:c r="C25" s="69" t="n">
        <x:f>A25/1000*B25</x:f>
        <x:v>0.8</x:v>
      </x:c>
      <x:c r="D25" s="69" t="n">
        <x:v>0.25</x:v>
      </x:c>
      <x:c r="E25" s="69" t="n">
        <x:f>A25/1000*D25</x:f>
        <x:v>2.5</x:v>
      </x:c>
      <x:c r="F25" s="69" t="n">
        <x:v>0.6</x:v>
      </x:c>
      <x:c r="G25" s="69" t="n">
        <x:f>A25/1000*F25</x:f>
        <x:v>6</x:v>
      </x:c>
      <x:c r="H25" s="67" t="str"/>
      <x:c r="I25" s="67"/>
      <x:c r="J25" s="67"/>
      <x:c r="K25" s="67"/>
    </x:row>
    <x:row r="26">
      <x:c r="A26" s="79" t="n">
        <x:v>50000</x:v>
      </x:c>
      <x:c r="B26" s="69" t="n">
        <x:v>0.08</x:v>
      </x:c>
      <x:c r="C26" s="69" t="n">
        <x:f>A26/1000*B26</x:f>
        <x:v>4</x:v>
      </x:c>
      <x:c r="D26" s="69" t="n">
        <x:v>0.25</x:v>
      </x:c>
      <x:c r="E26" s="69" t="n">
        <x:f>A26/1000*D26</x:f>
        <x:v>12.5</x:v>
      </x:c>
      <x:c r="F26" s="69" t="n">
        <x:v>0.6</x:v>
      </x:c>
      <x:c r="G26" s="69" t="n">
        <x:f>A26/1000*F26</x:f>
        <x:v>30</x:v>
      </x:c>
      <x:c r="H26" s="67" t="str"/>
      <x:c r="I26" s="67"/>
      <x:c r="J26" s="67"/>
      <x:c r="K26" s="67"/>
    </x:row>
    <x:row r="27">
      <x:c r="A27" s="79" t="n">
        <x:v>100000</x:v>
      </x:c>
      <x:c r="B27" s="69" t="n">
        <x:v>0.08</x:v>
      </x:c>
      <x:c r="C27" s="69" t="n">
        <x:f>A27/1000*B27</x:f>
        <x:v>8</x:v>
      </x:c>
      <x:c r="D27" s="69" t="n">
        <x:v>0.25</x:v>
      </x:c>
      <x:c r="E27" s="69" t="n">
        <x:f>A27/1000*D27</x:f>
        <x:v>25</x:v>
      </x:c>
      <x:c r="F27" s="69" t="n">
        <x:v>0.6</x:v>
      </x:c>
      <x:c r="G27" s="69" t="n">
        <x:f>A27/1000*F27</x:f>
        <x:v>60</x:v>
      </x:c>
      <x:c r="H27" s="67" t="str"/>
      <x:c r="I27" s="67"/>
      <x:c r="J27" s="67"/>
      <x:c r="K27" s="67"/>
    </x:row>
    <x:row r="28">
      <x:c r="A28" s="79" t="n">
        <x:v>250000</x:v>
      </x:c>
      <x:c r="B28" s="69" t="n">
        <x:v>0.08</x:v>
      </x:c>
      <x:c r="C28" s="69" t="n">
        <x:f>A28/1000*B28</x:f>
        <x:v>20</x:v>
      </x:c>
      <x:c r="D28" s="69" t="n">
        <x:v>0.25</x:v>
      </x:c>
      <x:c r="E28" s="69" t="n">
        <x:f>A28/1000*D28</x:f>
        <x:v>62.5</x:v>
      </x:c>
      <x:c r="F28" s="69" t="n">
        <x:v>0.6</x:v>
      </x:c>
      <x:c r="G28" s="69" t="n">
        <x:f>A28/1000*F28</x:f>
        <x:v>150</x:v>
      </x:c>
      <x:c r="H28" s="67" t="str"/>
      <x:c r="I28" s="67"/>
      <x:c r="J28" s="67"/>
      <x:c r="K28" s="67"/>
    </x:row>
    <x:row r="29">
      <x:c r="A29" s="79" t="n">
        <x:v>500000</x:v>
      </x:c>
      <x:c r="B29" s="69" t="n">
        <x:v>0.08</x:v>
      </x:c>
      <x:c r="C29" s="69" t="n">
        <x:f>A29/1000*B29</x:f>
        <x:v>40</x:v>
      </x:c>
      <x:c r="D29" s="69" t="n">
        <x:v>0.25</x:v>
      </x:c>
      <x:c r="E29" s="69" t="n">
        <x:f>A29/1000*D29</x:f>
        <x:v>125</x:v>
      </x:c>
      <x:c r="F29" s="69" t="n">
        <x:v>0.6</x:v>
      </x:c>
      <x:c r="G29" s="69" t="n">
        <x:f>A29/1000*F29</x:f>
        <x:v>300</x:v>
      </x:c>
      <x:c r="H29" s="67" t="str"/>
      <x:c r="I29" s="67"/>
      <x:c r="J29" s="67"/>
      <x:c r="K29" s="67"/>
    </x:row>
    <x:row r="30">
      <x:c r="A30" s="79" t="n">
        <x:v>1000000</x:v>
      </x:c>
      <x:c r="B30" s="69" t="n">
        <x:v>0.08</x:v>
      </x:c>
      <x:c r="C30" s="69" t="n">
        <x:f>A30/1000*B30</x:f>
        <x:v>80</x:v>
      </x:c>
      <x:c r="D30" s="69" t="n">
        <x:v>0.25</x:v>
      </x:c>
      <x:c r="E30" s="69" t="n">
        <x:f>A30/1000*D30</x:f>
        <x:v>250</x:v>
      </x:c>
      <x:c r="F30" s="69" t="n">
        <x:v>0.6</x:v>
      </x:c>
      <x:c r="G30" s="69" t="n">
        <x:f>A30/1000*F30</x:f>
        <x:v>600</x:v>
      </x:c>
      <x:c r="H30" s="67" t="str"/>
      <x:c r="I30" s="67"/>
      <x:c r="J30" s="67"/>
      <x:c r="K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</x:row>
    <x:row r="33">
      <x:c r="A33" s="78" t="str">
        <x:v>Setupad - eCPM gelir tablosu</x:v>
      </x:c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</x:row>
    <x:row r="34">
      <x:c r="A34" s="68" t="str">
        <x:v>Aylık reklam gösterimi</x:v>
      </x:c>
      <x:c r="B34" s="68" t="str">
        <x:v>Düşük eCPM</x:v>
      </x:c>
      <x:c r="C34" s="68" t="str">
        <x:v>Düşük gelir</x:v>
      </x:c>
      <x:c r="D34" s="68" t="str">
        <x:v>Baz eCPM</x:v>
      </x:c>
      <x:c r="E34" s="68" t="str">
        <x:v>Baz gelir</x:v>
      </x:c>
      <x:c r="F34" s="68" t="str">
        <x:v>İyimser eCPM</x:v>
      </x:c>
      <x:c r="G34" s="68" t="str">
        <x:v>İyimser gelir</x:v>
      </x:c>
      <x:c r="H34" s="68" t="str">
        <x:v>Yorum</x:v>
      </x:c>
      <x:c r="I34" s="67"/>
      <x:c r="J34" s="67"/>
      <x:c r="K34" s="67"/>
    </x:row>
    <x:row r="35">
      <x:c r="A35" s="79" t="n">
        <x:v>10000</x:v>
      </x:c>
      <x:c r="B35" s="69" t="n">
        <x:v>0.2</x:v>
      </x:c>
      <x:c r="C35" s="69" t="n">
        <x:f>A35/1000*B35</x:f>
        <x:v>2</x:v>
      </x:c>
      <x:c r="D35" s="69" t="n">
        <x:v>0.6</x:v>
      </x:c>
      <x:c r="E35" s="69" t="n">
        <x:f>A35/1000*D35</x:f>
        <x:v>6</x:v>
      </x:c>
      <x:c r="F35" s="69" t="n">
        <x:v>1.5</x:v>
      </x:c>
      <x:c r="G35" s="69" t="n">
        <x:f>A35/1000*F35</x:f>
        <x:v>15</x:v>
      </x:c>
      <x:c r="H35" s="67" t="str"/>
      <x:c r="I35" s="67"/>
      <x:c r="J35" s="67"/>
      <x:c r="K35" s="67"/>
    </x:row>
    <x:row r="36">
      <x:c r="A36" s="79" t="n">
        <x:v>50000</x:v>
      </x:c>
      <x:c r="B36" s="69" t="n">
        <x:v>0.2</x:v>
      </x:c>
      <x:c r="C36" s="69" t="n">
        <x:f>A36/1000*B36</x:f>
        <x:v>10</x:v>
      </x:c>
      <x:c r="D36" s="69" t="n">
        <x:v>0.6</x:v>
      </x:c>
      <x:c r="E36" s="69" t="n">
        <x:f>A36/1000*D36</x:f>
        <x:v>30</x:v>
      </x:c>
      <x:c r="F36" s="69" t="n">
        <x:v>1.5</x:v>
      </x:c>
      <x:c r="G36" s="69" t="n">
        <x:f>A36/1000*F36</x:f>
        <x:v>75</x:v>
      </x:c>
      <x:c r="H36" s="67" t="str"/>
      <x:c r="I36" s="67"/>
      <x:c r="J36" s="67"/>
      <x:c r="K36" s="67"/>
    </x:row>
    <x:row r="37">
      <x:c r="A37" s="79" t="n">
        <x:v>100000</x:v>
      </x:c>
      <x:c r="B37" s="69" t="n">
        <x:v>0.2</x:v>
      </x:c>
      <x:c r="C37" s="69" t="n">
        <x:f>A37/1000*B37</x:f>
        <x:v>20</x:v>
      </x:c>
      <x:c r="D37" s="69" t="n">
        <x:v>0.6</x:v>
      </x:c>
      <x:c r="E37" s="69" t="n">
        <x:f>A37/1000*D37</x:f>
        <x:v>60</x:v>
      </x:c>
      <x:c r="F37" s="69" t="n">
        <x:v>1.5</x:v>
      </x:c>
      <x:c r="G37" s="69" t="n">
        <x:f>A37/1000*F37</x:f>
        <x:v>150</x:v>
      </x:c>
      <x:c r="H37" s="67" t="str"/>
      <x:c r="I37" s="67"/>
      <x:c r="J37" s="67"/>
      <x:c r="K37" s="67"/>
    </x:row>
    <x:row r="38">
      <x:c r="A38" s="79" t="n">
        <x:v>250000</x:v>
      </x:c>
      <x:c r="B38" s="69" t="n">
        <x:v>0.2</x:v>
      </x:c>
      <x:c r="C38" s="69" t="n">
        <x:f>A38/1000*B38</x:f>
        <x:v>50</x:v>
      </x:c>
      <x:c r="D38" s="69" t="n">
        <x:v>0.6</x:v>
      </x:c>
      <x:c r="E38" s="69" t="n">
        <x:f>A38/1000*D38</x:f>
        <x:v>150</x:v>
      </x:c>
      <x:c r="F38" s="69" t="n">
        <x:v>1.5</x:v>
      </x:c>
      <x:c r="G38" s="69" t="n">
        <x:f>A38/1000*F38</x:f>
        <x:v>375</x:v>
      </x:c>
      <x:c r="H38" s="67" t="str"/>
      <x:c r="I38" s="67"/>
      <x:c r="J38" s="67"/>
      <x:c r="K38" s="67"/>
    </x:row>
    <x:row r="39">
      <x:c r="A39" s="79" t="n">
        <x:v>500000</x:v>
      </x:c>
      <x:c r="B39" s="69" t="n">
        <x:v>0.2</x:v>
      </x:c>
      <x:c r="C39" s="69" t="n">
        <x:f>A39/1000*B39</x:f>
        <x:v>100</x:v>
      </x:c>
      <x:c r="D39" s="69" t="n">
        <x:v>0.6</x:v>
      </x:c>
      <x:c r="E39" s="69" t="n">
        <x:f>A39/1000*D39</x:f>
        <x:v>300</x:v>
      </x:c>
      <x:c r="F39" s="69" t="n">
        <x:v>1.5</x:v>
      </x:c>
      <x:c r="G39" s="69" t="n">
        <x:f>A39/1000*F39</x:f>
        <x:v>750</x:v>
      </x:c>
      <x:c r="H39" s="67" t="str"/>
      <x:c r="I39" s="67"/>
      <x:c r="J39" s="67"/>
      <x:c r="K39" s="67"/>
    </x:row>
    <x:row r="40">
      <x:c r="A40" s="79" t="n">
        <x:v>1000000</x:v>
      </x:c>
      <x:c r="B40" s="69" t="n">
        <x:v>0.2</x:v>
      </x:c>
      <x:c r="C40" s="69" t="n">
        <x:f>A40/1000*B40</x:f>
        <x:v>200</x:v>
      </x:c>
      <x:c r="D40" s="69" t="n">
        <x:v>0.6</x:v>
      </x:c>
      <x:c r="E40" s="69" t="n">
        <x:f>A40/1000*D40</x:f>
        <x:v>600</x:v>
      </x:c>
      <x:c r="F40" s="69" t="n">
        <x:v>1.5</x:v>
      </x:c>
      <x:c r="G40" s="69" t="n">
        <x:f>A40/1000*F40</x:f>
        <x:v>1500</x:v>
      </x:c>
      <x:c r="H40" s="67" t="str"/>
      <x:c r="I40" s="67"/>
      <x:c r="J40" s="67"/>
      <x:c r="K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</x:row>
    <x:row r="43">
      <x:c r="A43" s="78" t="str">
        <x:v>MGID - eCPM gelir tablosu</x:v>
      </x:c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</x:row>
    <x:row r="44">
      <x:c r="A44" s="68" t="str">
        <x:v>Aylık reklam gösterimi</x:v>
      </x:c>
      <x:c r="B44" s="68" t="str">
        <x:v>Düşük eCPM</x:v>
      </x:c>
      <x:c r="C44" s="68" t="str">
        <x:v>Düşük gelir</x:v>
      </x:c>
      <x:c r="D44" s="68" t="str">
        <x:v>Baz eCPM</x:v>
      </x:c>
      <x:c r="E44" s="68" t="str">
        <x:v>Baz gelir</x:v>
      </x:c>
      <x:c r="F44" s="68" t="str">
        <x:v>İyimser eCPM</x:v>
      </x:c>
      <x:c r="G44" s="68" t="str">
        <x:v>İyimser gelir</x:v>
      </x:c>
      <x:c r="H44" s="68" t="str">
        <x:v>Yorum</x:v>
      </x:c>
      <x:c r="I44" s="67"/>
      <x:c r="J44" s="67"/>
      <x:c r="K44" s="67"/>
    </x:row>
    <x:row r="45">
      <x:c r="A45" s="79" t="n">
        <x:v>10000</x:v>
      </x:c>
      <x:c r="B45" s="69" t="n">
        <x:v>0.1</x:v>
      </x:c>
      <x:c r="C45" s="69" t="n">
        <x:f>A45/1000*B45</x:f>
        <x:v>1</x:v>
      </x:c>
      <x:c r="D45" s="69" t="n">
        <x:v>0.25</x:v>
      </x:c>
      <x:c r="E45" s="69" t="n">
        <x:f>A45/1000*D45</x:f>
        <x:v>2.5</x:v>
      </x:c>
      <x:c r="F45" s="69" t="n">
        <x:v>0.8</x:v>
      </x:c>
      <x:c r="G45" s="69" t="n">
        <x:f>A45/1000*F45</x:f>
        <x:v>8</x:v>
      </x:c>
      <x:c r="H45" s="67" t="str"/>
      <x:c r="I45" s="67"/>
      <x:c r="J45" s="67"/>
      <x:c r="K45" s="67"/>
    </x:row>
    <x:row r="46">
      <x:c r="A46" s="79" t="n">
        <x:v>50000</x:v>
      </x:c>
      <x:c r="B46" s="69" t="n">
        <x:v>0.1</x:v>
      </x:c>
      <x:c r="C46" s="69" t="n">
        <x:f>A46/1000*B46</x:f>
        <x:v>5</x:v>
      </x:c>
      <x:c r="D46" s="69" t="n">
        <x:v>0.25</x:v>
      </x:c>
      <x:c r="E46" s="69" t="n">
        <x:f>A46/1000*D46</x:f>
        <x:v>12.5</x:v>
      </x:c>
      <x:c r="F46" s="69" t="n">
        <x:v>0.8</x:v>
      </x:c>
      <x:c r="G46" s="69" t="n">
        <x:f>A46/1000*F46</x:f>
        <x:v>40</x:v>
      </x:c>
      <x:c r="H46" s="67" t="str"/>
      <x:c r="I46" s="67"/>
      <x:c r="J46" s="67"/>
      <x:c r="K46" s="67"/>
    </x:row>
    <x:row r="47">
      <x:c r="A47" s="79" t="n">
        <x:v>100000</x:v>
      </x:c>
      <x:c r="B47" s="69" t="n">
        <x:v>0.1</x:v>
      </x:c>
      <x:c r="C47" s="69" t="n">
        <x:f>A47/1000*B47</x:f>
        <x:v>10</x:v>
      </x:c>
      <x:c r="D47" s="69" t="n">
        <x:v>0.25</x:v>
      </x:c>
      <x:c r="E47" s="69" t="n">
        <x:f>A47/1000*D47</x:f>
        <x:v>25</x:v>
      </x:c>
      <x:c r="F47" s="69" t="n">
        <x:v>0.8</x:v>
      </x:c>
      <x:c r="G47" s="69" t="n">
        <x:f>A47/1000*F47</x:f>
        <x:v>80</x:v>
      </x:c>
      <x:c r="H47" s="67" t="str"/>
      <x:c r="I47" s="67"/>
      <x:c r="J47" s="67"/>
      <x:c r="K47" s="67"/>
    </x:row>
    <x:row r="48">
      <x:c r="A48" s="79" t="n">
        <x:v>250000</x:v>
      </x:c>
      <x:c r="B48" s="69" t="n">
        <x:v>0.1</x:v>
      </x:c>
      <x:c r="C48" s="69" t="n">
        <x:f>A48/1000*B48</x:f>
        <x:v>25</x:v>
      </x:c>
      <x:c r="D48" s="69" t="n">
        <x:v>0.25</x:v>
      </x:c>
      <x:c r="E48" s="69" t="n">
        <x:f>A48/1000*D48</x:f>
        <x:v>62.5</x:v>
      </x:c>
      <x:c r="F48" s="69" t="n">
        <x:v>0.8</x:v>
      </x:c>
      <x:c r="G48" s="69" t="n">
        <x:f>A48/1000*F48</x:f>
        <x:v>200</x:v>
      </x:c>
      <x:c r="H48" s="67" t="str"/>
      <x:c r="I48" s="67"/>
      <x:c r="J48" s="67"/>
      <x:c r="K48" s="67"/>
    </x:row>
    <x:row r="49">
      <x:c r="A49" s="79" t="n">
        <x:v>500000</x:v>
      </x:c>
      <x:c r="B49" s="69" t="n">
        <x:v>0.1</x:v>
      </x:c>
      <x:c r="C49" s="69" t="n">
        <x:f>A49/1000*B49</x:f>
        <x:v>50</x:v>
      </x:c>
      <x:c r="D49" s="69" t="n">
        <x:v>0.25</x:v>
      </x:c>
      <x:c r="E49" s="69" t="n">
        <x:f>A49/1000*D49</x:f>
        <x:v>125</x:v>
      </x:c>
      <x:c r="F49" s="69" t="n">
        <x:v>0.8</x:v>
      </x:c>
      <x:c r="G49" s="69" t="n">
        <x:f>A49/1000*F49</x:f>
        <x:v>400</x:v>
      </x:c>
      <x:c r="H49" s="67" t="str"/>
      <x:c r="I49" s="67"/>
      <x:c r="J49" s="67"/>
      <x:c r="K49" s="67"/>
    </x:row>
    <x:row r="50">
      <x:c r="A50" s="79" t="n">
        <x:v>1000000</x:v>
      </x:c>
      <x:c r="B50" s="69" t="n">
        <x:v>0.1</x:v>
      </x:c>
      <x:c r="C50" s="69" t="n">
        <x:f>A50/1000*B50</x:f>
        <x:v>100</x:v>
      </x:c>
      <x:c r="D50" s="69" t="n">
        <x:v>0.25</x:v>
      </x:c>
      <x:c r="E50" s="69" t="n">
        <x:f>A50/1000*D50</x:f>
        <x:v>250</x:v>
      </x:c>
      <x:c r="F50" s="69" t="n">
        <x:v>0.8</x:v>
      </x:c>
      <x:c r="G50" s="69" t="n">
        <x:f>A50/1000*F50</x:f>
        <x:v>800</x:v>
      </x:c>
      <x:c r="H50" s="67" t="str"/>
      <x:c r="I50" s="67"/>
      <x:c r="J50" s="67"/>
      <x:c r="K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</x:row>
    <x:row r="53">
      <x:c r="A53" s="78" t="str">
        <x:v>Media.net - eCPM gelir tablosu</x:v>
      </x:c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</x:row>
    <x:row r="54">
      <x:c r="A54" s="68" t="str">
        <x:v>Aylık reklam gösterimi</x:v>
      </x:c>
      <x:c r="B54" s="68" t="str">
        <x:v>Düşük eCPM</x:v>
      </x:c>
      <x:c r="C54" s="68" t="str">
        <x:v>Düşük gelir</x:v>
      </x:c>
      <x:c r="D54" s="68" t="str">
        <x:v>Baz eCPM</x:v>
      </x:c>
      <x:c r="E54" s="68" t="str">
        <x:v>Baz gelir</x:v>
      </x:c>
      <x:c r="F54" s="68" t="str">
        <x:v>İyimser eCPM</x:v>
      </x:c>
      <x:c r="G54" s="68" t="str">
        <x:v>İyimser gelir</x:v>
      </x:c>
      <x:c r="H54" s="68" t="str">
        <x:v>Yorum</x:v>
      </x:c>
      <x:c r="I54" s="67"/>
      <x:c r="J54" s="67"/>
      <x:c r="K54" s="67"/>
    </x:row>
    <x:row r="55">
      <x:c r="A55" s="79" t="n">
        <x:v>10000</x:v>
      </x:c>
      <x:c r="B55" s="69" t="n">
        <x:v>0.05</x:v>
      </x:c>
      <x:c r="C55" s="69" t="n">
        <x:f>A55/1000*B55</x:f>
        <x:v>0.5</x:v>
      </x:c>
      <x:c r="D55" s="69" t="n">
        <x:v>0.18</x:v>
      </x:c>
      <x:c r="E55" s="69" t="n">
        <x:f>A55/1000*D55</x:f>
        <x:v>1.7999999999999998</x:v>
      </x:c>
      <x:c r="F55" s="69" t="n">
        <x:v>0.5</x:v>
      </x:c>
      <x:c r="G55" s="69" t="n">
        <x:f>A55/1000*F55</x:f>
        <x:v>5</x:v>
      </x:c>
      <x:c r="H55" s="67" t="str"/>
      <x:c r="I55" s="67"/>
      <x:c r="J55" s="67"/>
      <x:c r="K55" s="67"/>
    </x:row>
    <x:row r="56">
      <x:c r="A56" s="79" t="n">
        <x:v>50000</x:v>
      </x:c>
      <x:c r="B56" s="69" t="n">
        <x:v>0.05</x:v>
      </x:c>
      <x:c r="C56" s="69" t="n">
        <x:f>A56/1000*B56</x:f>
        <x:v>2.5</x:v>
      </x:c>
      <x:c r="D56" s="69" t="n">
        <x:v>0.18</x:v>
      </x:c>
      <x:c r="E56" s="69" t="n">
        <x:f>A56/1000*D56</x:f>
        <x:v>9</x:v>
      </x:c>
      <x:c r="F56" s="69" t="n">
        <x:v>0.5</x:v>
      </x:c>
      <x:c r="G56" s="69" t="n">
        <x:f>A56/1000*F56</x:f>
        <x:v>25</x:v>
      </x:c>
      <x:c r="H56" s="67" t="str"/>
      <x:c r="I56" s="67"/>
      <x:c r="J56" s="67"/>
      <x:c r="K56" s="67"/>
    </x:row>
    <x:row r="57">
      <x:c r="A57" s="79" t="n">
        <x:v>100000</x:v>
      </x:c>
      <x:c r="B57" s="69" t="n">
        <x:v>0.05</x:v>
      </x:c>
      <x:c r="C57" s="69" t="n">
        <x:f>A57/1000*B57</x:f>
        <x:v>5</x:v>
      </x:c>
      <x:c r="D57" s="69" t="n">
        <x:v>0.18</x:v>
      </x:c>
      <x:c r="E57" s="69" t="n">
        <x:f>A57/1000*D57</x:f>
        <x:v>18</x:v>
      </x:c>
      <x:c r="F57" s="69" t="n">
        <x:v>0.5</x:v>
      </x:c>
      <x:c r="G57" s="69" t="n">
        <x:f>A57/1000*F57</x:f>
        <x:v>50</x:v>
      </x:c>
      <x:c r="H57" s="67" t="str"/>
      <x:c r="I57" s="67"/>
      <x:c r="J57" s="67"/>
      <x:c r="K57" s="67"/>
    </x:row>
    <x:row r="58">
      <x:c r="A58" s="79" t="n">
        <x:v>250000</x:v>
      </x:c>
      <x:c r="B58" s="69" t="n">
        <x:v>0.05</x:v>
      </x:c>
      <x:c r="C58" s="69" t="n">
        <x:f>A58/1000*B58</x:f>
        <x:v>12.5</x:v>
      </x:c>
      <x:c r="D58" s="69" t="n">
        <x:v>0.18</x:v>
      </x:c>
      <x:c r="E58" s="69" t="n">
        <x:f>A58/1000*D58</x:f>
        <x:v>45</x:v>
      </x:c>
      <x:c r="F58" s="69" t="n">
        <x:v>0.5</x:v>
      </x:c>
      <x:c r="G58" s="69" t="n">
        <x:f>A58/1000*F58</x:f>
        <x:v>125</x:v>
      </x:c>
      <x:c r="H58" s="67" t="str"/>
      <x:c r="I58" s="67"/>
      <x:c r="J58" s="67"/>
      <x:c r="K58" s="67"/>
    </x:row>
    <x:row r="59">
      <x:c r="A59" s="79" t="n">
        <x:v>500000</x:v>
      </x:c>
      <x:c r="B59" s="69" t="n">
        <x:v>0.05</x:v>
      </x:c>
      <x:c r="C59" s="69" t="n">
        <x:f>A59/1000*B59</x:f>
        <x:v>25</x:v>
      </x:c>
      <x:c r="D59" s="69" t="n">
        <x:v>0.18</x:v>
      </x:c>
      <x:c r="E59" s="69" t="n">
        <x:f>A59/1000*D59</x:f>
        <x:v>90</x:v>
      </x:c>
      <x:c r="F59" s="69" t="n">
        <x:v>0.5</x:v>
      </x:c>
      <x:c r="G59" s="69" t="n">
        <x:f>A59/1000*F59</x:f>
        <x:v>250</x:v>
      </x:c>
      <x:c r="H59" s="67" t="str"/>
      <x:c r="I59" s="67"/>
      <x:c r="J59" s="67"/>
      <x:c r="K59" s="67"/>
    </x:row>
    <x:row r="60">
      <x:c r="A60" s="79" t="n">
        <x:v>1000000</x:v>
      </x:c>
      <x:c r="B60" s="69" t="n">
        <x:v>0.05</x:v>
      </x:c>
      <x:c r="C60" s="69" t="n">
        <x:f>A60/1000*B60</x:f>
        <x:v>50</x:v>
      </x:c>
      <x:c r="D60" s="69" t="n">
        <x:v>0.18</x:v>
      </x:c>
      <x:c r="E60" s="69" t="n">
        <x:f>A60/1000*D60</x:f>
        <x:v>180</x:v>
      </x:c>
      <x:c r="F60" s="69" t="n">
        <x:v>0.5</x:v>
      </x:c>
      <x:c r="G60" s="69" t="n">
        <x:f>A60/1000*F60</x:f>
        <x:v>500</x:v>
      </x:c>
      <x:c r="H60" s="67" t="str"/>
      <x:c r="I60" s="67"/>
      <x:c r="J60" s="67"/>
      <x:c r="K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</x:row>
    <x:row r="63">
      <x:c r="A63" s="78" t="str">
        <x:v>Monetag - eCPM gelir tablosu</x:v>
      </x:c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</x:row>
    <x:row r="64">
      <x:c r="A64" s="68" t="str">
        <x:v>Aylık reklam gösterimi</x:v>
      </x:c>
      <x:c r="B64" s="68" t="str">
        <x:v>Düşük eCPM</x:v>
      </x:c>
      <x:c r="C64" s="68" t="str">
        <x:v>Düşük gelir</x:v>
      </x:c>
      <x:c r="D64" s="68" t="str">
        <x:v>Baz eCPM</x:v>
      </x:c>
      <x:c r="E64" s="68" t="str">
        <x:v>Baz gelir</x:v>
      </x:c>
      <x:c r="F64" s="68" t="str">
        <x:v>İyimser eCPM</x:v>
      </x:c>
      <x:c r="G64" s="68" t="str">
        <x:v>İyimser gelir</x:v>
      </x:c>
      <x:c r="H64" s="68" t="str">
        <x:v>Yorum</x:v>
      </x:c>
      <x:c r="I64" s="67"/>
      <x:c r="J64" s="67"/>
      <x:c r="K64" s="67"/>
    </x:row>
    <x:row r="65">
      <x:c r="A65" s="79" t="n">
        <x:v>10000</x:v>
      </x:c>
      <x:c r="B65" s="69" t="n">
        <x:v>0.15</x:v>
      </x:c>
      <x:c r="C65" s="69" t="n">
        <x:f>A65/1000*B65</x:f>
        <x:v>1.5</x:v>
      </x:c>
      <x:c r="D65" s="69" t="n">
        <x:v>0.4</x:v>
      </x:c>
      <x:c r="E65" s="69" t="n">
        <x:f>A65/1000*D65</x:f>
        <x:v>4</x:v>
      </x:c>
      <x:c r="F65" s="69" t="n">
        <x:v>1.2</x:v>
      </x:c>
      <x:c r="G65" s="69" t="n">
        <x:f>A65/1000*F65</x:f>
        <x:v>12</x:v>
      </x:c>
      <x:c r="H65" s="67" t="str"/>
      <x:c r="I65" s="67"/>
      <x:c r="J65" s="67"/>
      <x:c r="K65" s="67"/>
    </x:row>
    <x:row r="66">
      <x:c r="A66" s="79" t="n">
        <x:v>50000</x:v>
      </x:c>
      <x:c r="B66" s="69" t="n">
        <x:v>0.15</x:v>
      </x:c>
      <x:c r="C66" s="69" t="n">
        <x:f>A66/1000*B66</x:f>
        <x:v>7.5</x:v>
      </x:c>
      <x:c r="D66" s="69" t="n">
        <x:v>0.4</x:v>
      </x:c>
      <x:c r="E66" s="69" t="n">
        <x:f>A66/1000*D66</x:f>
        <x:v>20</x:v>
      </x:c>
      <x:c r="F66" s="69" t="n">
        <x:v>1.2</x:v>
      </x:c>
      <x:c r="G66" s="69" t="n">
        <x:f>A66/1000*F66</x:f>
        <x:v>60</x:v>
      </x:c>
      <x:c r="H66" s="67" t="str"/>
      <x:c r="I66" s="67"/>
      <x:c r="J66" s="67"/>
      <x:c r="K66" s="67"/>
    </x:row>
    <x:row r="67">
      <x:c r="A67" s="79" t="n">
        <x:v>100000</x:v>
      </x:c>
      <x:c r="B67" s="69" t="n">
        <x:v>0.15</x:v>
      </x:c>
      <x:c r="C67" s="69" t="n">
        <x:f>A67/1000*B67</x:f>
        <x:v>15</x:v>
      </x:c>
      <x:c r="D67" s="69" t="n">
        <x:v>0.4</x:v>
      </x:c>
      <x:c r="E67" s="69" t="n">
        <x:f>A67/1000*D67</x:f>
        <x:v>40</x:v>
      </x:c>
      <x:c r="F67" s="69" t="n">
        <x:v>1.2</x:v>
      </x:c>
      <x:c r="G67" s="69" t="n">
        <x:f>A67/1000*F67</x:f>
        <x:v>120</x:v>
      </x:c>
      <x:c r="H67" s="67" t="str"/>
      <x:c r="I67" s="67"/>
      <x:c r="J67" s="67"/>
      <x:c r="K67" s="67"/>
    </x:row>
    <x:row r="68">
      <x:c r="A68" s="79" t="n">
        <x:v>250000</x:v>
      </x:c>
      <x:c r="B68" s="69" t="n">
        <x:v>0.15</x:v>
      </x:c>
      <x:c r="C68" s="69" t="n">
        <x:f>A68/1000*B68</x:f>
        <x:v>37.5</x:v>
      </x:c>
      <x:c r="D68" s="69" t="n">
        <x:v>0.4</x:v>
      </x:c>
      <x:c r="E68" s="69" t="n">
        <x:f>A68/1000*D68</x:f>
        <x:v>100</x:v>
      </x:c>
      <x:c r="F68" s="69" t="n">
        <x:v>1.2</x:v>
      </x:c>
      <x:c r="G68" s="69" t="n">
        <x:f>A68/1000*F68</x:f>
        <x:v>300</x:v>
      </x:c>
      <x:c r="H68" s="67" t="str"/>
      <x:c r="I68" s="67"/>
      <x:c r="J68" s="67"/>
      <x:c r="K68" s="67"/>
    </x:row>
    <x:row r="69">
      <x:c r="A69" s="79" t="n">
        <x:v>500000</x:v>
      </x:c>
      <x:c r="B69" s="69" t="n">
        <x:v>0.15</x:v>
      </x:c>
      <x:c r="C69" s="69" t="n">
        <x:f>A69/1000*B69</x:f>
        <x:v>75</x:v>
      </x:c>
      <x:c r="D69" s="69" t="n">
        <x:v>0.4</x:v>
      </x:c>
      <x:c r="E69" s="69" t="n">
        <x:f>A69/1000*D69</x:f>
        <x:v>200</x:v>
      </x:c>
      <x:c r="F69" s="69" t="n">
        <x:v>1.2</x:v>
      </x:c>
      <x:c r="G69" s="69" t="n">
        <x:f>A69/1000*F69</x:f>
        <x:v>600</x:v>
      </x:c>
      <x:c r="H69" s="67" t="str"/>
      <x:c r="I69" s="67"/>
      <x:c r="J69" s="67"/>
      <x:c r="K69" s="67"/>
    </x:row>
    <x:row r="70">
      <x:c r="A70" s="79" t="n">
        <x:v>1000000</x:v>
      </x:c>
      <x:c r="B70" s="69" t="n">
        <x:v>0.15</x:v>
      </x:c>
      <x:c r="C70" s="69" t="n">
        <x:f>A70/1000*B70</x:f>
        <x:v>150</x:v>
      </x:c>
      <x:c r="D70" s="69" t="n">
        <x:v>0.4</x:v>
      </x:c>
      <x:c r="E70" s="69" t="n">
        <x:f>A70/1000*D70</x:f>
        <x:v>400</x:v>
      </x:c>
      <x:c r="F70" s="69" t="n">
        <x:v>1.2</x:v>
      </x:c>
      <x:c r="G70" s="69" t="n">
        <x:f>A70/1000*F70</x:f>
        <x:v>1200</x:v>
      </x:c>
      <x:c r="H70" s="67" t="str"/>
      <x:c r="I70" s="67"/>
      <x:c r="J70" s="67"/>
      <x:c r="K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</x:row>
    <x:row r="73">
      <x:c r="A73" s="78" t="str">
        <x:v>Ezoic - eCPM gelir tablosu</x:v>
      </x:c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</x:row>
    <x:row r="74">
      <x:c r="A74" s="68" t="str">
        <x:v>Aylık reklam gösterimi</x:v>
      </x:c>
      <x:c r="B74" s="68" t="str">
        <x:v>Düşük eCPM</x:v>
      </x:c>
      <x:c r="C74" s="68" t="str">
        <x:v>Düşük gelir</x:v>
      </x:c>
      <x:c r="D74" s="68" t="str">
        <x:v>Baz eCPM</x:v>
      </x:c>
      <x:c r="E74" s="68" t="str">
        <x:v>Baz gelir</x:v>
      </x:c>
      <x:c r="F74" s="68" t="str">
        <x:v>İyimser eCPM</x:v>
      </x:c>
      <x:c r="G74" s="68" t="str">
        <x:v>İyimser gelir</x:v>
      </x:c>
      <x:c r="H74" s="68" t="str">
        <x:v>Yorum</x:v>
      </x:c>
      <x:c r="I74" s="67"/>
      <x:c r="J74" s="67"/>
      <x:c r="K74" s="67"/>
    </x:row>
    <x:row r="75">
      <x:c r="A75" s="79" t="n">
        <x:v>10000</x:v>
      </x:c>
      <x:c r="B75" s="69" t="n">
        <x:v>0.3</x:v>
      </x:c>
      <x:c r="C75" s="69" t="n">
        <x:f>A75/1000*B75</x:f>
        <x:v>3</x:v>
      </x:c>
      <x:c r="D75" s="69" t="n">
        <x:v>0.8</x:v>
      </x:c>
      <x:c r="E75" s="69" t="n">
        <x:f>A75/1000*D75</x:f>
        <x:v>8</x:v>
      </x:c>
      <x:c r="F75" s="69" t="n">
        <x:v>2</x:v>
      </x:c>
      <x:c r="G75" s="69" t="n">
        <x:f>A75/1000*F75</x:f>
        <x:v>20</x:v>
      </x:c>
      <x:c r="H75" s="67" t="str"/>
      <x:c r="I75" s="67"/>
      <x:c r="J75" s="67"/>
      <x:c r="K75" s="67"/>
    </x:row>
    <x:row r="76">
      <x:c r="A76" s="79" t="n">
        <x:v>50000</x:v>
      </x:c>
      <x:c r="B76" s="69" t="n">
        <x:v>0.3</x:v>
      </x:c>
      <x:c r="C76" s="69" t="n">
        <x:f>A76/1000*B76</x:f>
        <x:v>15</x:v>
      </x:c>
      <x:c r="D76" s="69" t="n">
        <x:v>0.8</x:v>
      </x:c>
      <x:c r="E76" s="69" t="n">
        <x:f>A76/1000*D76</x:f>
        <x:v>40</x:v>
      </x:c>
      <x:c r="F76" s="69" t="n">
        <x:v>2</x:v>
      </x:c>
      <x:c r="G76" s="69" t="n">
        <x:f>A76/1000*F76</x:f>
        <x:v>100</x:v>
      </x:c>
      <x:c r="H76" s="67" t="str"/>
      <x:c r="I76" s="67"/>
      <x:c r="J76" s="67"/>
      <x:c r="K76" s="67"/>
    </x:row>
    <x:row r="77">
      <x:c r="A77" s="79" t="n">
        <x:v>100000</x:v>
      </x:c>
      <x:c r="B77" s="69" t="n">
        <x:v>0.3</x:v>
      </x:c>
      <x:c r="C77" s="69" t="n">
        <x:f>A77/1000*B77</x:f>
        <x:v>30</x:v>
      </x:c>
      <x:c r="D77" s="69" t="n">
        <x:v>0.8</x:v>
      </x:c>
      <x:c r="E77" s="69" t="n">
        <x:f>A77/1000*D77</x:f>
        <x:v>80</x:v>
      </x:c>
      <x:c r="F77" s="69" t="n">
        <x:v>2</x:v>
      </x:c>
      <x:c r="G77" s="69" t="n">
        <x:f>A77/1000*F77</x:f>
        <x:v>200</x:v>
      </x:c>
      <x:c r="H77" s="67" t="str"/>
      <x:c r="I77" s="67"/>
      <x:c r="J77" s="67"/>
      <x:c r="K77" s="67"/>
    </x:row>
    <x:row r="78">
      <x:c r="A78" s="79" t="n">
        <x:v>250000</x:v>
      </x:c>
      <x:c r="B78" s="69" t="n">
        <x:v>0.3</x:v>
      </x:c>
      <x:c r="C78" s="69" t="n">
        <x:f>A78/1000*B78</x:f>
        <x:v>75</x:v>
      </x:c>
      <x:c r="D78" s="69" t="n">
        <x:v>0.8</x:v>
      </x:c>
      <x:c r="E78" s="69" t="n">
        <x:f>A78/1000*D78</x:f>
        <x:v>200</x:v>
      </x:c>
      <x:c r="F78" s="69" t="n">
        <x:v>2</x:v>
      </x:c>
      <x:c r="G78" s="69" t="n">
        <x:f>A78/1000*F78</x:f>
        <x:v>500</x:v>
      </x:c>
      <x:c r="H78" s="67" t="str"/>
      <x:c r="I78" s="67"/>
      <x:c r="J78" s="67"/>
      <x:c r="K78" s="67"/>
    </x:row>
    <x:row r="79">
      <x:c r="A79" s="79" t="n">
        <x:v>500000</x:v>
      </x:c>
      <x:c r="B79" s="69" t="n">
        <x:v>0.3</x:v>
      </x:c>
      <x:c r="C79" s="69" t="n">
        <x:f>A79/1000*B79</x:f>
        <x:v>150</x:v>
      </x:c>
      <x:c r="D79" s="69" t="n">
        <x:v>0.8</x:v>
      </x:c>
      <x:c r="E79" s="69" t="n">
        <x:f>A79/1000*D79</x:f>
        <x:v>400</x:v>
      </x:c>
      <x:c r="F79" s="69" t="n">
        <x:v>2</x:v>
      </x:c>
      <x:c r="G79" s="69" t="n">
        <x:f>A79/1000*F79</x:f>
        <x:v>1000</x:v>
      </x:c>
      <x:c r="H79" s="67" t="str"/>
      <x:c r="I79" s="67"/>
      <x:c r="J79" s="67"/>
      <x:c r="K79" s="67"/>
    </x:row>
    <x:row r="80">
      <x:c r="A80" s="79" t="n">
        <x:v>1000000</x:v>
      </x:c>
      <x:c r="B80" s="69" t="n">
        <x:v>0.3</x:v>
      </x:c>
      <x:c r="C80" s="69" t="n">
        <x:f>A80/1000*B80</x:f>
        <x:v>300</x:v>
      </x:c>
      <x:c r="D80" s="69" t="n">
        <x:v>0.8</x:v>
      </x:c>
      <x:c r="E80" s="69" t="n">
        <x:f>A80/1000*D80</x:f>
        <x:v>800</x:v>
      </x:c>
      <x:c r="F80" s="69" t="n">
        <x:v>2</x:v>
      </x:c>
      <x:c r="G80" s="69" t="n">
        <x:f>A80/1000*F80</x:f>
        <x:v>2000</x:v>
      </x:c>
      <x:c r="H80" s="67" t="str"/>
      <x:c r="I80" s="67"/>
      <x:c r="J80" s="67"/>
      <x:c r="K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</x:row>
  </x:sheetData>
  <x:mergeCells>
    <x:mergeCell ref="A1:H1"/>
    <x:mergeCell ref="A3:H3"/>
    <x:mergeCell ref="A13:H13"/>
    <x:mergeCell ref="A23:H23"/>
    <x:mergeCell ref="A33:H33"/>
    <x:mergeCell ref="A43:H43"/>
    <x:mergeCell ref="A53:H53"/>
    <x:mergeCell ref="A63:H63"/>
    <x:mergeCell ref="A73:H7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24" hidden="0" customWidth="1"/>
    <x:col min="9" max="9" width="18" hidden="0" customWidth="1"/>
    <x:col min="10" max="10" width="28" hidden="0" customWidth="1"/>
    <x:col min="11" max="11" width="36" hidden="0" customWidth="1"/>
  </x:cols>
  <x:sheetData>
    <x:row r="1">
      <x:c r="A1" s="64" t="str">
        <x:v>Sağlayıcı Karşılaştırma Matrisi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3">
      <x:c r="A3" s="68" t="str">
        <x:v>Sağlayıcı</x:v>
      </x:c>
      <x:c r="B3" s="68" t="str">
        <x:v>Kısa ad</x:v>
      </x:c>
      <x:c r="C3" s="68" t="str">
        <x:v>Uygunluk / eşik</x:v>
      </x:c>
      <x:c r="D3" s="68" t="str">
        <x:v>Vergi-operasyon notu</x:v>
      </x:c>
      <x:c r="E3" s="68" t="str">
        <x:v>Formatlar</x:v>
      </x:c>
      <x:c r="F3" s="68" t="str">
        <x:v>Düşük eCPM</x:v>
      </x:c>
      <x:c r="G3" s="68" t="str">
        <x:v>Baz eCPM</x:v>
      </x:c>
      <x:c r="H3" s="68" t="str">
        <x:v>İyimser eCPM</x:v>
      </x:c>
      <x:c r="I3" s="68" t="str">
        <x:v>TümMenü uyumu</x:v>
      </x:c>
      <x:c r="J3" s="68" t="str">
        <x:v>Risk</x:v>
      </x:c>
      <x:c r="K3" s="68" t="str">
        <x:v>Kaynak</x:v>
      </x:c>
    </x:row>
    <x:row r="4">
      <x:c r="A4" s="84" t="str">
        <x:v>Yandex Advertising Network</x:v>
      </x:c>
      <x:c r="B4" s="84" t="str">
        <x:v>YAN</x:v>
      </x:c>
      <x:c r="C4" s="84" t="str">
        <x:v>Web sitesi moderasyonu; ödeme için belge/banka bilgisi gerekir</x:v>
      </x:c>
      <x:c r="D4" s="84" t="str">
        <x:v>Yurt dışı ödeme; USD/EUR eşik ve belge süreci</x:v>
      </x:c>
      <x:c r="E4" s="84" t="str">
        <x:v>Text/image, media, video; universal ad block</x:v>
      </x:c>
      <x:c r="F4" s="85" t="n">
        <x:v>0.08</x:v>
      </x:c>
      <x:c r="G4" s="85" t="n">
        <x:v>0.2</x:v>
      </x:c>
      <x:c r="H4" s="85" t="n">
        <x:v>0.45</x:v>
      </x:c>
      <x:c r="I4" s="84" t="str">
        <x:v>Yüksek</x:v>
      </x:c>
      <x:c r="J4" s="84" t="str">
        <x:v>CPM Türkiye trafiğinde değişken; test şart</x:v>
      </x:c>
      <x:c r="K4" s="84" t="str">
        <x:v>https://partner.yandex.com/</x:v>
      </x:c>
    </x:row>
    <x:row r="5">
      <x:c r="A5" s="84" t="str">
        <x:v>AdMatic</x:v>
      </x:c>
      <x:c r="B5" s="84" t="str">
        <x:v>AdMatic</x:v>
      </x:c>
      <x:c r="C5" s="84" t="str">
        <x:v>Türkiye merkezli premium network; başvuru/uygunluk gerekir</x:v>
      </x:c>
      <x:c r="D5" s="84" t="str">
        <x:v>Türkiye muhatabı nedeniyle operasyon daha kolay olabilir</x:v>
      </x:c>
      <x:c r="E5" s="84" t="str">
        <x:v>Interstitial, scrollad, masthead, inpage, interscroller, fullpage, advertorial</x:v>
      </x:c>
      <x:c r="F5" s="85" t="n">
        <x:v>0.1</x:v>
      </x:c>
      <x:c r="G5" s="85" t="n">
        <x:v>0.3</x:v>
      </x:c>
      <x:c r="H5" s="85" t="n">
        <x:v>0.7</x:v>
      </x:c>
      <x:c r="I5" s="84" t="str">
        <x:v>Yüksek</x:v>
      </x:c>
      <x:c r="J5" s="84" t="str">
        <x:v>Formatlar agresifleşirse UX bozulabilir</x:v>
      </x:c>
      <x:c r="K5" s="84" t="str">
        <x:v>https://admatic.com.tr/</x:v>
      </x:c>
    </x:row>
    <x:row r="6">
      <x:c r="A6" s="84" t="str">
        <x:v>ReklamStore SSP</x:v>
      </x:c>
      <x:c r="B6" s="84" t="str">
        <x:v>ReklamStore</x:v>
      </x:c>
      <x:c r="C6" s="84" t="str">
        <x:v>Yayıncı hesabı; açık artırma/eCPM modeli</x:v>
      </x:c>
      <x:c r="D6" s="84" t="str">
        <x:v>Türkiye muhatabı nedeniyle operasyon daha kolay olabilir</x:v>
      </x:c>
      <x:c r="E6" s="84" t="str">
        <x:v>Display, mobile, affiliate/performans çözümleri</x:v>
      </x:c>
      <x:c r="F6" s="85" t="n">
        <x:v>0.08</x:v>
      </x:c>
      <x:c r="G6" s="85" t="n">
        <x:v>0.25</x:v>
      </x:c>
      <x:c r="H6" s="85" t="n">
        <x:v>0.6</x:v>
      </x:c>
      <x:c r="I6" s="84" t="str">
        <x:v>Yüksek</x:v>
      </x:c>
      <x:c r="J6" s="84" t="str">
        <x:v>Doluluk ve kampanya talebi dönemsel değişebilir</x:v>
      </x:c>
      <x:c r="K6" s="84" t="str">
        <x:v>https://www.reklamstore.com/tr/yayinci-kazanc-modeli</x:v>
      </x:c>
    </x:row>
    <x:row r="7">
      <x:c r="A7" s="84" t="str">
        <x:v>Setupad</x:v>
      </x:c>
      <x:c r="B7" s="84" t="str">
        <x:v>Setupad</x:v>
      </x:c>
      <x:c r="C7" s="84" t="str">
        <x:v>Genelde 100.000+ aylık ziyaretçi; yüksek gelirli geo tercihi</x:v>
      </x:c>
      <x:c r="D7" s="84" t="str">
        <x:v>Yurt dışı ödeme; EUR ödeme ve belge/muhasebe süreci</x:v>
      </x:c>
      <x:c r="E7" s="84" t="str">
        <x:v>Header bidding, display, sticky, video, interstitial</x:v>
      </x:c>
      <x:c r="F7" s="85" t="n">
        <x:v>0.2</x:v>
      </x:c>
      <x:c r="G7" s="85" t="n">
        <x:v>0.6</x:v>
      </x:c>
      <x:c r="H7" s="85" t="n">
        <x:v>1.5</x:v>
      </x:c>
      <x:c r="I7" s="84" t="str">
        <x:v>Orta-Yüksek</x:v>
      </x:c>
      <x:c r="J7" s="84" t="str">
        <x:v>Mevcut trafik düşükse kabul zor; ilk ödeme gecikebilir</x:v>
      </x:c>
      <x:c r="K7" s="84" t="str">
        <x:v>https://www.stateofdigitalpublishing.com/digital-platform-tools/setupad-review/</x:v>
      </x:c>
    </x:row>
    <x:row r="8">
      <x:c r="A8" s="84" t="str">
        <x:v>MGID</x:v>
      </x:c>
      <x:c r="B8" s="84" t="str">
        <x:v>MGID</x:v>
      </x:c>
      <x:c r="C8" s="84" t="str">
        <x:v>3.000 günlük tekil / 90.000+ aylık ziyaretçi; özgün içerik şart</x:v>
      </x:c>
      <x:c r="D8" s="84" t="str">
        <x:v>Yurt dışı ödeme; native reklam raporlaması</x:v>
      </x:c>
      <x:c r="E8" s="84" t="str">
        <x:v>Native content recommendation</x:v>
      </x:c>
      <x:c r="F8" s="85" t="n">
        <x:v>0.1</x:v>
      </x:c>
      <x:c r="G8" s="85" t="n">
        <x:v>0.25</x:v>
      </x:c>
      <x:c r="H8" s="85" t="n">
        <x:v>0.8</x:v>
      </x:c>
      <x:c r="I8" s="84" t="str">
        <x:v>Orta</x:v>
      </x:c>
      <x:c r="J8" s="84" t="str">
        <x:v>Restoran SaaS imajında native clickbait hissi yaratabilir</x:v>
      </x:c>
      <x:c r="K8" s="84" t="str">
        <x:v>https://help.mgid.com/publishers-general-information</x:v>
      </x:c>
    </x:row>
    <x:row r="9">
      <x:c r="A9" s="84" t="str">
        <x:v>Media.net</x:v>
      </x:c>
      <x:c r="B9" s="84" t="str">
        <x:v>Media.net</x:v>
      </x:c>
      <x:c r="C9" s="84" t="str">
        <x:v>Kaliteli içerik; Yahoo/Bing ve premium DSP talebi</x:v>
      </x:c>
      <x:c r="D9" s="84" t="str">
        <x:v>Yurt dışı ödeme; İngilizce/US trafik daha avantajlı</x:v>
      </x:c>
      <x:c r="E9" s="84" t="str">
        <x:v>Search, display, video, native</x:v>
      </x:c>
      <x:c r="F9" s="85" t="n">
        <x:v>0.05</x:v>
      </x:c>
      <x:c r="G9" s="85" t="n">
        <x:v>0.18</x:v>
      </x:c>
      <x:c r="H9" s="85" t="n">
        <x:v>0.5</x:v>
      </x:c>
      <x:c r="I9" s="84" t="str">
        <x:v>Düşük-Orta</x:v>
      </x:c>
      <x:c r="J9" s="84" t="str">
        <x:v>Türkçe/Türkiye trafiğinde düşük fill/eCPM riski</x:v>
      </x:c>
      <x:c r="K9" s="84" t="str">
        <x:v>https://www.media.net/ads/publishers/</x:v>
      </x:c>
    </x:row>
    <x:row r="10">
      <x:c r="A10" s="84" t="str">
        <x:v>Monetag</x:v>
      </x:c>
      <x:c r="B10" s="84" t="str">
        <x:v>Monetag</x:v>
      </x:c>
      <x:c r="C10" s="84" t="str">
        <x:v>Düşük giriş bariyeri; web/mobil/social/remnant trafik</x:v>
      </x:c>
      <x:c r="D10" s="84" t="str">
        <x:v>Yurt dışı ödeme; düşük ödeme eşiği iddiası</x:v>
      </x:c>
      <x:c r="E10" s="84" t="str">
        <x:v>Popunder, push, vignette, in-page push, SmartLink</x:v>
      </x:c>
      <x:c r="F10" s="85" t="n">
        <x:v>0.15</x:v>
      </x:c>
      <x:c r="G10" s="85" t="n">
        <x:v>0.4</x:v>
      </x:c>
      <x:c r="H10" s="85" t="n">
        <x:v>1.2</x:v>
      </x:c>
      <x:c r="I10" s="84" t="str">
        <x:v>Düşük-Orta</x:v>
      </x:c>
      <x:c r="J10" s="84" t="str">
        <x:v>Pop/push formatları AdSense ve marka güvenliği için riskli olabilir</x:v>
      </x:c>
      <x:c r="K10" s="84" t="str">
        <x:v>https://monetag.com/</x:v>
      </x:c>
    </x:row>
    <x:row r="11">
      <x:c r="A11" s="84" t="str">
        <x:v>Ezoic</x:v>
      </x:c>
      <x:c r="B11" s="84" t="str">
        <x:v>Ezoic</x:v>
      </x:c>
      <x:c r="C11" s="84" t="str">
        <x:v>Yeni yayıncılar için genelde 250.000+ aylık aktif kullanıcı</x:v>
      </x:c>
      <x:c r="D11" s="84" t="str">
        <x:v>Yurt dışı ödeme; Google policy uyumu şart</x:v>
      </x:c>
      <x:c r="E11" s="84" t="str">
        <x:v>AI ad optimization, display/video/native</x:v>
      </x:c>
      <x:c r="F11" s="85" t="n">
        <x:v>0.3</x:v>
      </x:c>
      <x:c r="G11" s="85" t="n">
        <x:v>0.8</x:v>
      </x:c>
      <x:c r="H11" s="85" t="n">
        <x:v>2</x:v>
      </x:c>
      <x:c r="I11" s="84" t="str">
        <x:v>Trafik büyüyünce</x:v>
      </x:c>
      <x:c r="J11" s="84" t="str">
        <x:v>Bugünkü küçük/orta site için giriş eşiği yüksek</x:v>
      </x:c>
      <x:c r="K11" s="84" t="str">
        <x:v>https://support.ezoic.com/kb/article/getting-started-ezoics-requirements</x:v>
      </x:c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425c1294d4443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24" hidden="0" customWidth="1"/>
    <x:col min="9" max="9" width="18" hidden="0" customWidth="1"/>
    <x:col min="10" max="10" width="28" hidden="0" customWidth="1"/>
    <x:col min="11" max="11" width="36" hidden="0" customWidth="1"/>
  </x:cols>
  <x:sheetData>
    <x:row r="1">
      <x:c r="A1" s="64" t="str">
        <x:v>Kaynaklar ve Notlar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3">
      <x:c r="A3" s="68" t="str">
        <x:v>Konu</x:v>
      </x:c>
      <x:c r="B3" s="68" t="str">
        <x:v>Kaynak URL</x:v>
      </x:c>
      <x:c r="C3" s="68" t="str">
        <x:v>Raporda kullanımı</x:v>
      </x:c>
      <x:c r="D3" s="68" t="str">
        <x:v>Not</x:v>
      </x:c>
      <x:c r="E3" s="67"/>
      <x:c r="F3" s="67"/>
      <x:c r="G3" s="67"/>
      <x:c r="H3" s="67"/>
      <x:c r="I3" s="67"/>
      <x:c r="J3" s="67"/>
      <x:c r="K3" s="67"/>
    </x:row>
    <x:row r="4">
      <x:c r="A4" s="84" t="str">
        <x:v>YAN web monetization</x:v>
      </x:c>
      <x:c r="B4" s="84" t="str">
        <x:v>https://partner.yandex.com/</x:v>
      </x:c>
      <x:c r="C4" s="84" t="str">
        <x:v>Yandex auction, ad systems, format support</x:v>
      </x:c>
      <x:c r="D4" s="84" t="str">
        <x:v>Official</x:v>
      </x:c>
      <x:c r="E4" s="67"/>
      <x:c r="F4" s="67"/>
      <x:c r="G4" s="67"/>
      <x:c r="H4" s="67"/>
      <x:c r="I4" s="67"/>
      <x:c r="J4" s="67"/>
      <x:c r="K4" s="67"/>
    </x:row>
    <x:row r="5">
      <x:c r="A5" s="84" t="str">
        <x:v>YAN payments</x:v>
      </x:c>
      <x:c r="B5" s="84" t="str">
        <x:v>https://ads.yandex.com/helpcenter/en/payments/payments</x:v>
      </x:c>
      <x:c r="C5" s="84" t="str">
        <x:v>Yandex ödeme/belge/eşik ve viewable impression mantığı</x:v>
      </x:c>
      <x:c r="D5" s="84" t="str">
        <x:v>Official</x:v>
      </x:c>
      <x:c r="E5" s="67"/>
      <x:c r="F5" s="67"/>
      <x:c r="G5" s="67"/>
      <x:c r="H5" s="67"/>
      <x:c r="I5" s="67"/>
      <x:c r="J5" s="67"/>
      <x:c r="K5" s="67"/>
    </x:row>
    <x:row r="6">
      <x:c r="A6" s="84" t="str">
        <x:v>AdMatic</x:v>
      </x:c>
      <x:c r="B6" s="84" t="str">
        <x:v>https://admatic.com.tr/</x:v>
      </x:c>
      <x:c r="C6" s="84" t="str">
        <x:v>AdMatic formatlar ve viewability iddiaları</x:v>
      </x:c>
      <x:c r="D6" s="84" t="str">
        <x:v>Official</x:v>
      </x:c>
      <x:c r="E6" s="67"/>
      <x:c r="F6" s="67"/>
      <x:c r="G6" s="67"/>
      <x:c r="H6" s="67"/>
      <x:c r="I6" s="67"/>
      <x:c r="J6" s="67"/>
      <x:c r="K6" s="67"/>
    </x:row>
    <x:row r="7">
      <x:c r="A7" s="84" t="str">
        <x:v>ReklamStore kazanç modeli</x:v>
      </x:c>
      <x:c r="B7" s="84" t="str">
        <x:v>https://www.reklamstore.com/tr/yayinci-kazanc-modeli</x:v>
      </x:c>
      <x:c r="C7" s="84" t="str">
        <x:v>Açık artırma ve eCPM modeli</x:v>
      </x:c>
      <x:c r="D7" s="84" t="str">
        <x:v>Official</x:v>
      </x:c>
      <x:c r="E7" s="67"/>
      <x:c r="F7" s="67"/>
      <x:c r="G7" s="67"/>
      <x:c r="H7" s="67"/>
      <x:c r="I7" s="67"/>
      <x:c r="J7" s="67"/>
      <x:c r="K7" s="67"/>
    </x:row>
    <x:row r="8">
      <x:c r="A8" s="84" t="str">
        <x:v>Setupad review/requirements</x:v>
      </x:c>
      <x:c r="B8" s="84" t="str">
        <x:v>https://www.stateofdigitalpublishing.com/digital-platform-tools/setupad-review/</x:v>
      </x:c>
      <x:c r="C8" s="84" t="str">
        <x:v>100K+ visitor ve ödeme notları</x:v>
      </x:c>
      <x:c r="D8" s="84" t="str">
        <x:v>Third-party review; doğrulama gerekir</x:v>
      </x:c>
      <x:c r="E8" s="67"/>
      <x:c r="F8" s="67"/>
      <x:c r="G8" s="67"/>
      <x:c r="H8" s="67"/>
      <x:c r="I8" s="67"/>
      <x:c r="J8" s="67"/>
      <x:c r="K8" s="67"/>
    </x:row>
    <x:row r="9">
      <x:c r="A9" s="84" t="str">
        <x:v>Ezoic requirements</x:v>
      </x:c>
      <x:c r="B9" s="84" t="str">
        <x:v>https://support.ezoic.com/kb/article/getting-started-ezoics-requirements</x:v>
      </x:c>
      <x:c r="C9" s="84" t="str">
        <x:v>250K+ monthly active users</x:v>
      </x:c>
      <x:c r="D9" s="84" t="str">
        <x:v>Official</x:v>
      </x:c>
      <x:c r="E9" s="67"/>
      <x:c r="F9" s="67"/>
      <x:c r="G9" s="67"/>
      <x:c r="H9" s="67"/>
      <x:c r="I9" s="67"/>
      <x:c r="J9" s="67"/>
      <x:c r="K9" s="67"/>
    </x:row>
    <x:row r="10">
      <x:c r="A10" s="84" t="str">
        <x:v>MGID publisher info</x:v>
      </x:c>
      <x:c r="B10" s="84" t="str">
        <x:v>https://help.mgid.com/publishers-general-information</x:v>
      </x:c>
      <x:c r="C10" s="84" t="str">
        <x:v>90K+ monthly / 3K daily traffic requirement</x:v>
      </x:c>
      <x:c r="D10" s="84" t="str">
        <x:v>Official</x:v>
      </x:c>
      <x:c r="E10" s="67"/>
      <x:c r="F10" s="67"/>
      <x:c r="G10" s="67"/>
      <x:c r="H10" s="67"/>
      <x:c r="I10" s="67"/>
      <x:c r="J10" s="67"/>
      <x:c r="K10" s="67"/>
    </x:row>
    <x:row r="11">
      <x:c r="A11" s="84" t="str">
        <x:v>Media.net publishers</x:v>
      </x:c>
      <x:c r="B11" s="84" t="str">
        <x:v>https://www.media.net/ads/publishers/</x:v>
      </x:c>
      <x:c r="C11" s="84" t="str">
        <x:v>Yahoo/Bing demand, ad formats</x:v>
      </x:c>
      <x:c r="D11" s="84" t="str">
        <x:v>Official</x:v>
      </x:c>
      <x:c r="E11" s="67"/>
      <x:c r="F11" s="67"/>
      <x:c r="G11" s="67"/>
      <x:c r="H11" s="67"/>
      <x:c r="I11" s="67"/>
      <x:c r="J11" s="67"/>
      <x:c r="K11" s="67"/>
    </x:row>
    <x:row r="12">
      <x:c r="A12" s="84" t="str">
        <x:v>Monetag</x:v>
      </x:c>
      <x:c r="B12" s="84" t="str">
        <x:v>https://monetag.com/</x:v>
      </x:c>
      <x:c r="C12" s="84" t="str">
        <x:v>Formats and payment positioning</x:v>
      </x:c>
      <x:c r="D12" s="84" t="str">
        <x:v>Official</x:v>
      </x:c>
      <x:c r="E12" s="67"/>
      <x:c r="F12" s="67"/>
      <x:c r="G12" s="67"/>
      <x:c r="H12" s="67"/>
      <x:c r="I12" s="67"/>
      <x:c r="J12" s="67"/>
      <x:c r="K12" s="67"/>
    </x:row>
    <x:row r="13">
      <x:c r="A13" s="84" t="str">
        <x:v>CPM country volatility</x:v>
      </x:c>
      <x:c r="B13" s="84" t="str">
        <x:v>https://worldpopulationreview.com/country-rankings/cpm-rates-by-country</x:v>
      </x:c>
      <x:c r="C13" s="84" t="str">
        <x:v>CPM volatility and Turkey baseline sanity check</x:v>
      </x:c>
      <x:c r="D13" s="84" t="str">
        <x:v>Third-party benchmark</x:v>
      </x:c>
      <x:c r="E13" s="67"/>
      <x:c r="F13" s="67"/>
      <x:c r="G13" s="67"/>
      <x:c r="H13" s="67"/>
      <x:c r="I13" s="67"/>
      <x:c r="J13" s="67"/>
      <x:c r="K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ec84483c005454d"/>
  </x:tableParts>
</x:worksheet>
</file>